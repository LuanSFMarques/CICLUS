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por\OneDrive\Documents\Tabela Calibração\"/>
    </mc:Choice>
  </mc:AlternateContent>
  <xr:revisionPtr revIDLastSave="0" documentId="13_ncr:1_{E949A9E4-B890-4E8B-9862-63CDAF5CCC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a de Equipamentos " sheetId="1" r:id="rId1"/>
    <sheet name="temp" sheetId="5" r:id="rId2"/>
    <sheet name="Para Calibrar" sheetId="4" r:id="rId3"/>
    <sheet name="Equipamentos Com Problema" sheetId="2" r:id="rId4"/>
  </sheets>
  <definedNames>
    <definedName name="_xlnm._FilterDatabase" localSheetId="0" hidden="1">'Lista de Equipamentos '!$A$1:$V$497</definedName>
    <definedName name="_xlnm._FilterDatabase" localSheetId="1" hidden="1">temp!$A$1:$C$31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6JsENSDpVyOopIMQOeMhsR8LAwQ==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K69" i="1"/>
  <c r="N344" i="1"/>
  <c r="N345" i="1"/>
  <c r="N346" i="1"/>
  <c r="N347" i="1"/>
  <c r="N343" i="1"/>
  <c r="N342" i="1"/>
  <c r="N340" i="1"/>
  <c r="N341" i="1"/>
  <c r="N66" i="1"/>
  <c r="N339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N165" i="1"/>
  <c r="N166" i="1"/>
  <c r="K79" i="1"/>
  <c r="N79" i="1" s="1"/>
  <c r="K164" i="1"/>
  <c r="N164" i="1" s="1"/>
  <c r="K163" i="1"/>
  <c r="N163" i="1" s="1"/>
  <c r="K162" i="1"/>
  <c r="N162" i="1" s="1"/>
  <c r="K160" i="1"/>
  <c r="N160" i="1" s="1"/>
  <c r="K161" i="1"/>
  <c r="N161" i="1" s="1"/>
  <c r="K159" i="1"/>
  <c r="N159" i="1" s="1"/>
  <c r="K158" i="1"/>
  <c r="N158" i="1" s="1"/>
  <c r="K157" i="1"/>
  <c r="N157" i="1" s="1"/>
  <c r="K156" i="1"/>
  <c r="N156" i="1" s="1"/>
  <c r="K155" i="1"/>
  <c r="N155" i="1" s="1"/>
  <c r="K154" i="1"/>
  <c r="N154" i="1" s="1"/>
  <c r="K153" i="1"/>
  <c r="N153" i="1" s="1"/>
  <c r="K152" i="1"/>
  <c r="N152" i="1" s="1"/>
  <c r="K151" i="1"/>
  <c r="N151" i="1" s="1"/>
  <c r="K150" i="1"/>
  <c r="N150" i="1" s="1"/>
  <c r="K149" i="1"/>
  <c r="N149" i="1" s="1"/>
  <c r="K148" i="1"/>
  <c r="N148" i="1" s="1"/>
  <c r="K147" i="1"/>
  <c r="N147" i="1" s="1"/>
  <c r="K146" i="1"/>
  <c r="N146" i="1" s="1"/>
  <c r="K145" i="1"/>
  <c r="N145" i="1" s="1"/>
  <c r="K144" i="1"/>
  <c r="N144" i="1" s="1"/>
  <c r="K143" i="1"/>
  <c r="N143" i="1" s="1"/>
  <c r="K142" i="1"/>
  <c r="N142" i="1" s="1"/>
  <c r="K141" i="1"/>
  <c r="N141" i="1" s="1"/>
  <c r="K140" i="1"/>
  <c r="N140" i="1" s="1"/>
  <c r="K139" i="1"/>
  <c r="N139" i="1" s="1"/>
  <c r="K138" i="1"/>
  <c r="N138" i="1" s="1"/>
  <c r="K137" i="1"/>
  <c r="N137" i="1" s="1"/>
  <c r="K136" i="1"/>
  <c r="N136" i="1" s="1"/>
  <c r="K135" i="1"/>
  <c r="N135" i="1" s="1"/>
  <c r="K134" i="1"/>
  <c r="N134" i="1" s="1"/>
  <c r="K133" i="1"/>
  <c r="N133" i="1" s="1"/>
  <c r="K132" i="1"/>
  <c r="N132" i="1" s="1"/>
  <c r="K131" i="1"/>
  <c r="N131" i="1" s="1"/>
  <c r="K130" i="1"/>
  <c r="N130" i="1" s="1"/>
  <c r="N125" i="1"/>
  <c r="K126" i="1"/>
  <c r="N126" i="1" s="1"/>
  <c r="K127" i="1"/>
  <c r="N127" i="1" s="1"/>
  <c r="K128" i="1"/>
  <c r="N128" i="1" s="1"/>
  <c r="K129" i="1"/>
  <c r="N129" i="1" s="1"/>
  <c r="N33" i="1"/>
  <c r="K75" i="1"/>
  <c r="N75" i="1" s="1"/>
  <c r="K119" i="1"/>
  <c r="N119" i="1" s="1"/>
  <c r="K120" i="1"/>
  <c r="N120" i="1" s="1"/>
  <c r="K121" i="1"/>
  <c r="K122" i="1"/>
  <c r="K123" i="1"/>
  <c r="K124" i="1"/>
  <c r="K82" i="1"/>
  <c r="K83" i="1"/>
  <c r="M2" i="1"/>
  <c r="K84" i="1"/>
  <c r="K85" i="1"/>
  <c r="N85" i="1" s="1"/>
  <c r="K86" i="1"/>
  <c r="N86" i="1" s="1"/>
  <c r="K87" i="1"/>
  <c r="N87" i="1" s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N101" i="1" s="1"/>
  <c r="K102" i="1"/>
  <c r="K103" i="1"/>
  <c r="N103" i="1" s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N80" i="1"/>
  <c r="K81" i="1"/>
  <c r="K17" i="1"/>
  <c r="N4" i="1"/>
  <c r="K13" i="1"/>
  <c r="K14" i="1"/>
  <c r="K40" i="1"/>
  <c r="N40" i="1" s="1"/>
  <c r="K41" i="1"/>
  <c r="N41" i="1" s="1"/>
  <c r="K34" i="1"/>
  <c r="N34" i="1" s="1"/>
  <c r="K35" i="1"/>
  <c r="N35" i="1" s="1"/>
  <c r="K36" i="1"/>
  <c r="N36" i="1" s="1"/>
  <c r="K37" i="1"/>
  <c r="N37" i="1" s="1"/>
  <c r="K38" i="1"/>
  <c r="N38" i="1" s="1"/>
  <c r="K61" i="1"/>
  <c r="N61" i="1" s="1"/>
  <c r="K62" i="1"/>
  <c r="N62" i="1" s="1"/>
  <c r="K63" i="1"/>
  <c r="N63" i="1" s="1"/>
  <c r="K64" i="1"/>
  <c r="N64" i="1" s="1"/>
  <c r="K65" i="1"/>
  <c r="N65" i="1" s="1"/>
  <c r="K67" i="1"/>
  <c r="N67" i="1" s="1"/>
  <c r="K68" i="1"/>
  <c r="N68" i="1" s="1"/>
  <c r="N69" i="1"/>
  <c r="K70" i="1"/>
  <c r="N70" i="1" s="1"/>
  <c r="K71" i="1"/>
  <c r="N71" i="1" s="1"/>
  <c r="K72" i="1"/>
  <c r="N72" i="1" s="1"/>
  <c r="K73" i="1"/>
  <c r="N73" i="1" s="1"/>
  <c r="K74" i="1"/>
  <c r="N74" i="1" s="1"/>
  <c r="K76" i="1"/>
  <c r="N76" i="1" s="1"/>
  <c r="N77" i="1"/>
  <c r="N78" i="1"/>
  <c r="N55" i="1"/>
  <c r="N56" i="1"/>
  <c r="N57" i="1"/>
  <c r="K58" i="1"/>
  <c r="N58" i="1" s="1"/>
  <c r="N59" i="1"/>
  <c r="K60" i="1"/>
  <c r="N60" i="1" s="1"/>
  <c r="N29" i="1"/>
  <c r="N30" i="1"/>
  <c r="N31" i="1"/>
  <c r="K32" i="1"/>
  <c r="N32" i="1" s="1"/>
  <c r="N39" i="1"/>
  <c r="N42" i="1"/>
  <c r="K43" i="1"/>
  <c r="N43" i="1" s="1"/>
  <c r="K44" i="1"/>
  <c r="N44" i="1" s="1"/>
  <c r="K45" i="1"/>
  <c r="N45" i="1" s="1"/>
  <c r="K46" i="1"/>
  <c r="N46" i="1" s="1"/>
  <c r="K47" i="1"/>
  <c r="N47" i="1" s="1"/>
  <c r="K48" i="1"/>
  <c r="N48" i="1" s="1"/>
  <c r="K49" i="1"/>
  <c r="N49" i="1" s="1"/>
  <c r="K50" i="1"/>
  <c r="N50" i="1" s="1"/>
  <c r="K51" i="1"/>
  <c r="N51" i="1" s="1"/>
  <c r="K52" i="1"/>
  <c r="N52" i="1" s="1"/>
  <c r="K53" i="1"/>
  <c r="N53" i="1" s="1"/>
  <c r="K54" i="1"/>
  <c r="N54" i="1" s="1"/>
  <c r="N28" i="1"/>
  <c r="N27" i="1"/>
  <c r="N26" i="1"/>
  <c r="N25" i="1"/>
  <c r="N24" i="1"/>
  <c r="N22" i="1"/>
  <c r="N20" i="1"/>
  <c r="N18" i="1"/>
  <c r="N2" i="1" l="1"/>
  <c r="N118" i="1"/>
  <c r="N110" i="1"/>
  <c r="N102" i="1"/>
  <c r="N94" i="1"/>
  <c r="N17" i="1"/>
  <c r="N9" i="1"/>
  <c r="N117" i="1"/>
  <c r="N109" i="1"/>
  <c r="N93" i="1"/>
  <c r="N23" i="1"/>
  <c r="N16" i="1"/>
  <c r="N8" i="1"/>
  <c r="N124" i="1"/>
  <c r="N116" i="1"/>
  <c r="N108" i="1"/>
  <c r="N100" i="1"/>
  <c r="N92" i="1"/>
  <c r="N84" i="1"/>
  <c r="N15" i="1"/>
  <c r="N123" i="1"/>
  <c r="N115" i="1"/>
  <c r="N107" i="1"/>
  <c r="N99" i="1"/>
  <c r="N91" i="1"/>
  <c r="N83" i="1"/>
  <c r="N21" i="1"/>
  <c r="N14" i="1"/>
  <c r="N7" i="1"/>
  <c r="N122" i="1"/>
  <c r="N114" i="1"/>
  <c r="N106" i="1"/>
  <c r="N98" i="1"/>
  <c r="N90" i="1"/>
  <c r="N82" i="1"/>
  <c r="N13" i="1"/>
  <c r="N6" i="1"/>
  <c r="N121" i="1"/>
  <c r="N113" i="1"/>
  <c r="N105" i="1"/>
  <c r="N97" i="1"/>
  <c r="N89" i="1"/>
  <c r="N81" i="1"/>
  <c r="N19" i="1"/>
  <c r="N12" i="1"/>
  <c r="N5" i="1"/>
  <c r="N112" i="1"/>
  <c r="N104" i="1"/>
  <c r="N96" i="1"/>
  <c r="N88" i="1"/>
  <c r="N11" i="1"/>
  <c r="N111" i="1"/>
  <c r="N95" i="1"/>
  <c r="N10" i="1"/>
  <c r="N3" i="1"/>
</calcChain>
</file>

<file path=xl/sharedStrings.xml><?xml version="1.0" encoding="utf-8"?>
<sst xmlns="http://schemas.openxmlformats.org/spreadsheetml/2006/main" count="3796" uniqueCount="857">
  <si>
    <t>ID</t>
  </si>
  <si>
    <t>Equipamento</t>
  </si>
  <si>
    <t>Descrição</t>
  </si>
  <si>
    <t>Modelo</t>
  </si>
  <si>
    <t>Nº Série</t>
  </si>
  <si>
    <t>Fabricante</t>
  </si>
  <si>
    <t>Calibração RBC</t>
  </si>
  <si>
    <t>Critério de aceitação (SUPORTE)</t>
  </si>
  <si>
    <t>Grupo de Serviço de Calibração</t>
  </si>
  <si>
    <t>Última</t>
  </si>
  <si>
    <t>Próxima</t>
  </si>
  <si>
    <t>Periodicidade (MESES)</t>
  </si>
  <si>
    <t>CALIBRAR</t>
  </si>
  <si>
    <t>atualização</t>
  </si>
  <si>
    <t>DIMENSIONAL</t>
  </si>
  <si>
    <t>MASSA</t>
  </si>
  <si>
    <t>BAL-004</t>
  </si>
  <si>
    <t>BAL-006</t>
  </si>
  <si>
    <t>BAL-007</t>
  </si>
  <si>
    <t>BAL-009</t>
  </si>
  <si>
    <t>BAL-010</t>
  </si>
  <si>
    <t>BAL-011</t>
  </si>
  <si>
    <t>BAL-012</t>
  </si>
  <si>
    <t>EST-001</t>
  </si>
  <si>
    <t>Estufa microprocessada de secagem com timer</t>
  </si>
  <si>
    <t>Q317M-32</t>
  </si>
  <si>
    <t>Solotest Aparelhos para Mecânica do Solo Ltda.</t>
  </si>
  <si>
    <t>Controlador de temperatura em 3 temperaturas (105ºC, 107,5ºC e 110º) e estudo de homogenidade com 12 sensores internos com no mínimo 2 horas de duração em uma temperatura (107,5ºC)</t>
  </si>
  <si>
    <t>Erro + Incerteza  ≤  10 % do valor medido para todos os pontos do controlador</t>
  </si>
  <si>
    <t>TEMPERATURA E UMIDADE</t>
  </si>
  <si>
    <t>EST-002</t>
  </si>
  <si>
    <t>EST-003</t>
  </si>
  <si>
    <t>Quimis</t>
  </si>
  <si>
    <t>EST-005</t>
  </si>
  <si>
    <t>EST-006</t>
  </si>
  <si>
    <t>SL-100/336</t>
  </si>
  <si>
    <t>Solab</t>
  </si>
  <si>
    <t>MAN-004</t>
  </si>
  <si>
    <t>?</t>
  </si>
  <si>
    <t>Viatest</t>
  </si>
  <si>
    <t>Granutest</t>
  </si>
  <si>
    <t>PP-001</t>
  </si>
  <si>
    <t>Peso Padrão (10g)</t>
  </si>
  <si>
    <t>classe F1- OIML</t>
  </si>
  <si>
    <t>KN Waagen</t>
  </si>
  <si>
    <t>Massa por comparação direta</t>
  </si>
  <si>
    <t>Erro + Incerteza  ≤  0,20 mg  (tolerância máxima da classe F1)</t>
  </si>
  <si>
    <t>PP-002</t>
  </si>
  <si>
    <t>Peso Padrão (20g)</t>
  </si>
  <si>
    <t>Erro + Incerteza  ≤  0,25 mg  (tolerância máxima da classe F1)</t>
  </si>
  <si>
    <t>PP-003</t>
  </si>
  <si>
    <t>Peso Padrão (50g)</t>
  </si>
  <si>
    <t>Erro + Incerteza  ≤  0,3 mg  (tolerância máxima da classe F1)</t>
  </si>
  <si>
    <t>PP-004</t>
  </si>
  <si>
    <t>Peso Padrão (100g)</t>
  </si>
  <si>
    <t>Erro + Incerteza  ≤  0,5 mg  (tolerância máxima da classe F1)</t>
  </si>
  <si>
    <t>PP-005</t>
  </si>
  <si>
    <t>Peso Padrão (200g)</t>
  </si>
  <si>
    <t>Erro + Incerteza  ≤  1 mg  (tolerância máxima da classe F1)</t>
  </si>
  <si>
    <t>PP-006</t>
  </si>
  <si>
    <t>Peso Padrão (500g)</t>
  </si>
  <si>
    <t>Erro + Incerteza  ≤  2,5 mg  (tolerância máxima da classe F1)</t>
  </si>
  <si>
    <t>PP-007</t>
  </si>
  <si>
    <t>Peso Padrão (5kg)</t>
  </si>
  <si>
    <t>Erro + Incerteza  ≤  25 mg  (tolerância máxima da classe F1)</t>
  </si>
  <si>
    <t>PRE-001</t>
  </si>
  <si>
    <t>PRE-002</t>
  </si>
  <si>
    <t>Erro + Incerteza  ≤  5 % do valor de medição</t>
  </si>
  <si>
    <t>Biopdi</t>
  </si>
  <si>
    <t>Equipamento para ensaio de Adensamento</t>
  </si>
  <si>
    <t>Tipo Bishop</t>
  </si>
  <si>
    <t>Comparador de Deslocamento Eletrônico LVDT - curso de 10 mm (5 pontos)</t>
  </si>
  <si>
    <t>WS-140629009 ID 02685</t>
  </si>
  <si>
    <t>WS-140629009 ID 11012</t>
  </si>
  <si>
    <t>WS-140629009 ID 11011</t>
  </si>
  <si>
    <t>PRE-003</t>
  </si>
  <si>
    <t>HG</t>
  </si>
  <si>
    <t>Projetest</t>
  </si>
  <si>
    <t>Solotest</t>
  </si>
  <si>
    <t>SETOR</t>
  </si>
  <si>
    <t>TRI-E-001</t>
  </si>
  <si>
    <t>TRI-E-002</t>
  </si>
  <si>
    <t>S</t>
  </si>
  <si>
    <t>N</t>
  </si>
  <si>
    <t>PP-008</t>
  </si>
  <si>
    <t>CD-001</t>
  </si>
  <si>
    <t>TRI-D-001</t>
  </si>
  <si>
    <t>CIS-001</t>
  </si>
  <si>
    <t>PCIS-008</t>
  </si>
  <si>
    <t>PCIS-012</t>
  </si>
  <si>
    <t>PCIS-003</t>
  </si>
  <si>
    <t>PCIS-002</t>
  </si>
  <si>
    <t>PCIS-005</t>
  </si>
  <si>
    <t>PCIS-001</t>
  </si>
  <si>
    <t>PCIS-017</t>
  </si>
  <si>
    <t>PCIS-007</t>
  </si>
  <si>
    <t>PCIS-006</t>
  </si>
  <si>
    <t>PCIS-018</t>
  </si>
  <si>
    <t>PCIS-013</t>
  </si>
  <si>
    <t>PCIS-015</t>
  </si>
  <si>
    <t>Null</t>
  </si>
  <si>
    <t>QR BOM</t>
  </si>
  <si>
    <t>AD-001</t>
  </si>
  <si>
    <t>AD-002</t>
  </si>
  <si>
    <t>AD-003</t>
  </si>
  <si>
    <t>AD-004</t>
  </si>
  <si>
    <t>PEN-051</t>
  </si>
  <si>
    <t>PEN-139</t>
  </si>
  <si>
    <t>PEN-050</t>
  </si>
  <si>
    <t>PEN-117</t>
  </si>
  <si>
    <t>PEN-044</t>
  </si>
  <si>
    <t>VAC-001</t>
  </si>
  <si>
    <t>EE1</t>
  </si>
  <si>
    <t>EE2</t>
  </si>
  <si>
    <t>CASA-002</t>
  </si>
  <si>
    <t>CASA-004</t>
  </si>
  <si>
    <t>CASA-003</t>
  </si>
  <si>
    <t>REL-001-MCT-P</t>
  </si>
  <si>
    <t>VAC-004</t>
  </si>
  <si>
    <t>VAC-002</t>
  </si>
  <si>
    <t>BAL-019</t>
  </si>
  <si>
    <t>BAL-027</t>
  </si>
  <si>
    <t>PAQ-004</t>
  </si>
  <si>
    <t>TRI-D-002/D1</t>
  </si>
  <si>
    <t>TRI-D-002/D2</t>
  </si>
  <si>
    <t>TRI-D-002/D3</t>
  </si>
  <si>
    <t>TRI-D-002/D4</t>
  </si>
  <si>
    <t>TRI-D-002/D5</t>
  </si>
  <si>
    <t>CD-001/D1</t>
  </si>
  <si>
    <t>CD-001/D2</t>
  </si>
  <si>
    <t>SED</t>
  </si>
  <si>
    <t>PEN-007</t>
  </si>
  <si>
    <t>PEN-015</t>
  </si>
  <si>
    <t>PEN-060</t>
  </si>
  <si>
    <t>PEN-028</t>
  </si>
  <si>
    <t>PEN-049</t>
  </si>
  <si>
    <t>PEN-149</t>
  </si>
  <si>
    <t>PEN-063</t>
  </si>
  <si>
    <t>PEN-111</t>
  </si>
  <si>
    <t>PEN-092</t>
  </si>
  <si>
    <t>PEN-082</t>
  </si>
  <si>
    <t>PEN-141</t>
  </si>
  <si>
    <t>PEN-061</t>
  </si>
  <si>
    <t>PEN-109</t>
  </si>
  <si>
    <t>PEN-075</t>
  </si>
  <si>
    <t>PEN-134</t>
  </si>
  <si>
    <t>PEN-138</t>
  </si>
  <si>
    <t>PEN-143</t>
  </si>
  <si>
    <t>PEN-114</t>
  </si>
  <si>
    <t>PEN-054</t>
  </si>
  <si>
    <t>PEN-096</t>
  </si>
  <si>
    <t>PEN-089</t>
  </si>
  <si>
    <t>PEN-085</t>
  </si>
  <si>
    <t>PEN-053</t>
  </si>
  <si>
    <t>PEN-016</t>
  </si>
  <si>
    <t>BAL-021</t>
  </si>
  <si>
    <t>TAN-003</t>
  </si>
  <si>
    <t>TAN-004</t>
  </si>
  <si>
    <t>TAN-001</t>
  </si>
  <si>
    <t>TAN-002</t>
  </si>
  <si>
    <t>PEN-120</t>
  </si>
  <si>
    <t>PRE</t>
  </si>
  <si>
    <t>BAL-024</t>
  </si>
  <si>
    <t>BAL-016</t>
  </si>
  <si>
    <t>PEN-039</t>
  </si>
  <si>
    <t>PEN-043</t>
  </si>
  <si>
    <t>DOS</t>
  </si>
  <si>
    <t>PEN-032</t>
  </si>
  <si>
    <t>COM</t>
  </si>
  <si>
    <t>PRE-MP-001</t>
  </si>
  <si>
    <t>PRE-MP-002</t>
  </si>
  <si>
    <t>BAL-020</t>
  </si>
  <si>
    <t>BAL-017</t>
  </si>
  <si>
    <t>BAL-023</t>
  </si>
  <si>
    <t>EST-007</t>
  </si>
  <si>
    <t>PEN-017</t>
  </si>
  <si>
    <t>PEN-023</t>
  </si>
  <si>
    <t>PEN-077</t>
  </si>
  <si>
    <t>PEN-153</t>
  </si>
  <si>
    <t>PEN-097</t>
  </si>
  <si>
    <t>PEN-072</t>
  </si>
  <si>
    <t>PEN-144</t>
  </si>
  <si>
    <t>PEN-108</t>
  </si>
  <si>
    <t>PEN-041</t>
  </si>
  <si>
    <t>Setor</t>
  </si>
  <si>
    <t>Info</t>
  </si>
  <si>
    <t>Contador de golpes enroscando</t>
  </si>
  <si>
    <t>Problema as vezes de não ligar. As vezes trava/enrosca nos golpes</t>
  </si>
  <si>
    <t>Demora para perder o Vácuo</t>
  </si>
  <si>
    <t>Setores Disponíveis</t>
  </si>
  <si>
    <t>EE2 - Ensaios Especiais 2</t>
  </si>
  <si>
    <t>EE1 - Ensaios Especiais 1</t>
  </si>
  <si>
    <t>PRE - Preparação</t>
  </si>
  <si>
    <t>DOS - Dosagem</t>
  </si>
  <si>
    <t>COM - Compactação</t>
  </si>
  <si>
    <t>SED - Sedimentação</t>
  </si>
  <si>
    <t>Data</t>
  </si>
  <si>
    <t>EST-008</t>
  </si>
  <si>
    <t>Q317M-93</t>
  </si>
  <si>
    <t>AG070544</t>
  </si>
  <si>
    <t>Prensa CBR/Marshall/ Ruptura 50kN - Automática</t>
  </si>
  <si>
    <t>000 000 312</t>
  </si>
  <si>
    <t>COMP</t>
  </si>
  <si>
    <t>BAL-028</t>
  </si>
  <si>
    <t>OK</t>
  </si>
  <si>
    <t>Ela não zera, fica variando bastante (as vezes passa de 50). Liga e desliga sozinho</t>
  </si>
  <si>
    <t>DEN-005</t>
  </si>
  <si>
    <t>DEN-006</t>
  </si>
  <si>
    <t>PRIX</t>
  </si>
  <si>
    <t>Marte Cientifica</t>
  </si>
  <si>
    <t>Marte</t>
  </si>
  <si>
    <t>Wonlab</t>
  </si>
  <si>
    <t>Ownlab</t>
  </si>
  <si>
    <t>Lacerda</t>
  </si>
  <si>
    <t>Toledo</t>
  </si>
  <si>
    <t>E-solo</t>
  </si>
  <si>
    <t>ECO FORMAS</t>
  </si>
  <si>
    <t>SoloTest</t>
  </si>
  <si>
    <t>SOLAB</t>
  </si>
  <si>
    <t>SOLOTEST</t>
  </si>
  <si>
    <t>TOLEDO</t>
  </si>
  <si>
    <t>Bel</t>
  </si>
  <si>
    <t>Stainless Hardened</t>
  </si>
  <si>
    <t>Prismatec</t>
  </si>
  <si>
    <t>KingTools</t>
  </si>
  <si>
    <t>Bertel</t>
  </si>
  <si>
    <t>Wykeham Farrance</t>
  </si>
  <si>
    <t>Fotos</t>
  </si>
  <si>
    <t>Pendente</t>
  </si>
  <si>
    <t>BAL-014</t>
  </si>
  <si>
    <t>NÃO</t>
  </si>
  <si>
    <t>SIM</t>
  </si>
  <si>
    <t>Se encontra na Trescal</t>
  </si>
  <si>
    <t>TRI-D-002</t>
  </si>
  <si>
    <t>Curto Circuito</t>
  </si>
  <si>
    <t>Se encontra na Sond (ativos)</t>
  </si>
  <si>
    <t xml:space="preserve">NÃO </t>
  </si>
  <si>
    <t>PEN-150</t>
  </si>
  <si>
    <t>PEN-155</t>
  </si>
  <si>
    <t>PEN-156</t>
  </si>
  <si>
    <t>PEN-157</t>
  </si>
  <si>
    <t>Se encontra na Sond (Inativos)</t>
  </si>
  <si>
    <t>PEN-080</t>
  </si>
  <si>
    <t>BAL-026</t>
  </si>
  <si>
    <t>EQUIPAMENTOS PARA CALIBRAR</t>
  </si>
  <si>
    <t>pn-53</t>
  </si>
  <si>
    <t>pn-60</t>
  </si>
  <si>
    <t>088</t>
  </si>
  <si>
    <t>084</t>
  </si>
  <si>
    <t>090</t>
  </si>
  <si>
    <t>052</t>
  </si>
  <si>
    <t>078</t>
  </si>
  <si>
    <t>079</t>
  </si>
  <si>
    <t>098</t>
  </si>
  <si>
    <t>099</t>
  </si>
  <si>
    <t>042</t>
  </si>
  <si>
    <t>021</t>
  </si>
  <si>
    <t>093</t>
  </si>
  <si>
    <t>132</t>
  </si>
  <si>
    <t>104</t>
  </si>
  <si>
    <t>Na Sond?</t>
  </si>
  <si>
    <t>No Estoque?</t>
  </si>
  <si>
    <t>128</t>
  </si>
  <si>
    <t>127</t>
  </si>
  <si>
    <t>123</t>
  </si>
  <si>
    <t>130</t>
  </si>
  <si>
    <t>125</t>
  </si>
  <si>
    <t>135</t>
  </si>
  <si>
    <t>136</t>
  </si>
  <si>
    <t>133</t>
  </si>
  <si>
    <t>112</t>
  </si>
  <si>
    <t>126</t>
  </si>
  <si>
    <t>089</t>
  </si>
  <si>
    <t xml:space="preserve"> N</t>
  </si>
  <si>
    <t>086</t>
  </si>
  <si>
    <t>087</t>
  </si>
  <si>
    <t>101</t>
  </si>
  <si>
    <t>075</t>
  </si>
  <si>
    <t>Para calibrar</t>
  </si>
  <si>
    <t>PEN-021</t>
  </si>
  <si>
    <t>EST</t>
  </si>
  <si>
    <t>SHOW</t>
  </si>
  <si>
    <t>PEN-042</t>
  </si>
  <si>
    <t>PEN-052</t>
  </si>
  <si>
    <t>PEN-078</t>
  </si>
  <si>
    <t>PEN-079</t>
  </si>
  <si>
    <t>PEN-084</t>
  </si>
  <si>
    <t>PEN-086</t>
  </si>
  <si>
    <t>PEN-088</t>
  </si>
  <si>
    <t>PEN-090</t>
  </si>
  <si>
    <t>PEN-093</t>
  </si>
  <si>
    <t>PEN-098</t>
  </si>
  <si>
    <t>PEN-099</t>
  </si>
  <si>
    <t>PEN-101</t>
  </si>
  <si>
    <t>PEN-104</t>
  </si>
  <si>
    <t>PEN-112</t>
  </si>
  <si>
    <t>DIS-007</t>
  </si>
  <si>
    <t>Velocidade de Giro Muito fraca, equipamento novo (3 MESES)</t>
  </si>
  <si>
    <t>PEN-123</t>
  </si>
  <si>
    <t>Eco Formas</t>
  </si>
  <si>
    <t>PEN-125</t>
  </si>
  <si>
    <t>PEN-126</t>
  </si>
  <si>
    <t>PEN-127</t>
  </si>
  <si>
    <t>PEN-128</t>
  </si>
  <si>
    <t>PEN-130</t>
  </si>
  <si>
    <t>PEN-132</t>
  </si>
  <si>
    <t>PEN-133</t>
  </si>
  <si>
    <t>PEN-135</t>
  </si>
  <si>
    <t>PEN-136</t>
  </si>
  <si>
    <t>MP01-MULTIPRENSA 10 Ton</t>
  </si>
  <si>
    <t>MULTIPRENSA 10Ton / Multiuso CBR / 220V / Peso: 240kg / Ano 2022.</t>
  </si>
  <si>
    <t>Prensa eletrom.autom.p/ensaio CBR/Marshall e tambem ensaios genericos demandem controle da veloc. de subida do prato e medicao da deformacao. Os resultados sao armazenados na memoria da prensa, podendo ser visualizados e/ou transferidos p/computador PC.Inclui cel.de carga(5000Kgf) LVDT(25 mm)220V-50/60Hz</t>
  </si>
  <si>
    <t>Voltou da manutenção dia 30/08 Setor: Compactação</t>
  </si>
  <si>
    <t>Balança de Precisão Marte modelo AD 5002 - 5010 g- 5010 g e div. 0,01 g - RS 232 / TopLab. Balança voltou do reparo. Setor: Compactação</t>
  </si>
  <si>
    <t>BALANCA ELET. DIG. MOD. 9094-15KG (balança voltou da manutenção) 11/12/2024. Próxima calibração 11/2025.</t>
  </si>
  <si>
    <t>Balança de Precisão Marte modelo AD 5002 - 5010 g- 5010 g e div. 0,01 g - RS 232 / TopLab *Setor compactação*</t>
  </si>
  <si>
    <t>BALANCA ELET. DIG. MOD-9094 (balança está sendo usada para o setor da compactação) GARANTIA DE 06 MESES, A PARTIR DA DATA DA NOTA FISCAL (A GARANTIA ESTÁ NA CAIXA) SETOR: COMPACTAÇÃO</t>
  </si>
  <si>
    <t>Balança KN Waagen16 kg Setor : Pesagem 5kg - compactação</t>
  </si>
  <si>
    <t>ESTUFA DE SECAGEM MICROPROCESSADA 336 LITROS 200°C</t>
  </si>
  <si>
    <t>Peneira de análise granulométrica Abert 2,00mm Malha 10</t>
  </si>
  <si>
    <t>Balança eletrônica digital 15 kg - Toledo Setor: Dosagem</t>
  </si>
  <si>
    <t>Peneira RED 8x2 - 12,500 - N1/2 - Malha 40</t>
  </si>
  <si>
    <t>Peneira de análise granulométrica Abert 4,75mm Malha 4</t>
  </si>
  <si>
    <t>Peso padrão 10g</t>
  </si>
  <si>
    <t>Máquina de ensaio triaxial estatico - 5000 kgf , Celula de Carga - 5.000 Kg , Celula triaxial - amostras de 1,5\" , Sistema de pressurizacao - Maquina de ensaio triaxial , Conjunto Pedestal para amostras 1,5\" - Celula triaxial Acessórios | N° Série Célula de Carga | 92578 Pressurizador CP | 000 000 289 Pressurizador BP | 000 000 288 LVDT | 4031</t>
  </si>
  <si>
    <t>Máquina de ensaio triaxial Esáatico - 5000 kgf Celula de Carga - 5.000 Kg Celula triaxial - amostras de 1,5\" Sistema de pressurizacao - Maquina de ensaio triaxial Conjunto Pedestal para amostras 1,5\" - Celula triaxial Acessórios | N° Série Célula de Carga | 127132 Pressurizador CP | 000 000 311 Pressurizador BP | 000 000 310 LVDT | 140629009</t>
  </si>
  <si>
    <t>Máquina de ensaio triaxial Dinâmica - 5000 kgf, Celula de Carga - 5.000 Kg, Célula triaxial - amostras de 1,5\" , Sistema de pressurização - Máquina de ensaio triaxial Acessórios | N° Série Célula de Carga | 204501 Pressurizador CP | 000 000 346 LVDT Solo | 224512/226373 LVDT Asfalto | 1406290009</t>
  </si>
  <si>
    <t>Máquina de Cisalhamento Direto / AutoShear</t>
  </si>
  <si>
    <t>MS102 - Cisalhamento Automatico + DSS</t>
  </si>
  <si>
    <t>Peso Cisalhamento direto 2 kg</t>
  </si>
  <si>
    <t>Peso Cisalhamento direto 8 kg</t>
  </si>
  <si>
    <t>Peso Cisalhamento direto 0.500 g</t>
  </si>
  <si>
    <t>Peso Cisalhamento direto 250 g</t>
  </si>
  <si>
    <t>Peso Cisalhamento direto 1 kg</t>
  </si>
  <si>
    <t>Peso Cisalhamento direto 4 kg</t>
  </si>
  <si>
    <t>Peso Cisalhamento direto 10 kg</t>
  </si>
  <si>
    <t>PENEIRA 8X2\'\' NR.01\'\' - 25,00MM INOX</t>
  </si>
  <si>
    <t>Peneira inox 8x2 N200 abertura 0,076mm. Peneira Calibrada . Em uso para a lavagem - sed (Raquel) 24-01-2025</t>
  </si>
  <si>
    <t>PENEIRA 8X2\'\' NR.3/8\'\' - 9,50MM INOX</t>
  </si>
  <si>
    <t>Perneira 0,425mm(Nº40) ENSAIO ESPECIAIS</t>
  </si>
  <si>
    <t>Peneira para análise granulométrica Abertura16,00mm - 5/8\\\'\\\'</t>
  </si>
  <si>
    <t>Bomba de vácuo com compressor Prismatec 131 2VC - Lubrificada a óleo - 38 l/min - 695 mmHg</t>
  </si>
  <si>
    <t>Balança eletrônica digital 2200 g - Bel *Setor Limites*</t>
  </si>
  <si>
    <t>Aparelho casa grande elétrico c/ contador digital Manutenção interna feita pelo Kairo, porém precisa de manutenção externa na parte elétrica. ------------------------------ 11/06/2025 voltou da manutenção e foi entregue para Monica.</t>
  </si>
  <si>
    <t>Relógio Comparador KingTools capacidade 0-10mm e graduação 0,01mm - Exp</t>
  </si>
  <si>
    <t>Relógio Vacuômetro com bomba de vácuo Número de série da bomba é 28818.</t>
  </si>
  <si>
    <t>Voltou da manutenção 30/08 - Calibração até dia 25/08/2025 ---------- Nova manutenção feita voltou dia 28/05/2025 (não foi feito uma nova calibração). Setor: Massa Específica (antiga preparação).</t>
  </si>
  <si>
    <t>Balança de Precisão Marte modelo AD 5002 Resolução 0,01Setor Especiais (Mini MCV). ---------- Voltou da manutenção dia 28/05/2025, teve defeito na placa de fábrica, foi trocado dentro da garantia.</t>
  </si>
  <si>
    <t>PAQUIMETRO DIGITAL 08 200MM CURSOR ACO 7VT EDA Entregue ao almoxarifado (estoque).</t>
  </si>
  <si>
    <t>Balança de precisão 5.010g resolução 0,1g Foi entregue ao almoxarifado. Essa balança vai ficar de estoque para o setor dos convencionais. Calibração OK (12/2025). Balança sendo usada no setor da preparação (09/01/25)</t>
  </si>
  <si>
    <t>Voltou da manutenção dia 19/06/2024. Foi entregue ao setor de preparação, porém foi trocada com o mctc.c devido a pesagem até 2kg. Calibração até 14/06/2025.</t>
  </si>
  <si>
    <t>Peneira de análise granulométrica Abert 1,18mm Malha 16</t>
  </si>
  <si>
    <t>Peneira de análise granulométrica Abert 0,60mm Malha 30</t>
  </si>
  <si>
    <t>PENEIRA 8X2´´ - NR.40 - 0,425mm INOX</t>
  </si>
  <si>
    <t>PENEIRA 8X2\'\' NR.60 - 0,250MM INOX</t>
  </si>
  <si>
    <t>Peneira de análise granulométrica Abert 150mm Malha 100</t>
  </si>
  <si>
    <t>Peneira 8x2 Número 200 - abertura 0,75mm</t>
  </si>
  <si>
    <t>Fundo para peneira 8x2´´ de aço inox</t>
  </si>
  <si>
    <t>Balança eletrônica digital 2200 g - Bel *Setor Sed/Pen*</t>
  </si>
  <si>
    <t>PENEIRA 8X2´´ NR.16 - 1,18MM INOX</t>
  </si>
  <si>
    <t>Em uso para o pen fino . Peneira0,600mm(Nº30)</t>
  </si>
  <si>
    <t>PENEIRA 8X2´´ NR.40 - 0,425MM INOX</t>
  </si>
  <si>
    <t>Em uso para o pen fino. PENEIRA 8X2´´ NR.60- 0,250MM INOX</t>
  </si>
  <si>
    <t>Em uso para o pen fino. PENEIRA 8X2´´ NR.100 - 0,150MM INOX</t>
  </si>
  <si>
    <t>Peneira de malha 200 - 0,075mm INOX . Precisa de calibração Em uso para o pen fino (Dani) 24-01-2025</t>
  </si>
  <si>
    <t>Balança eletrônica digital 2200 g - Bel *Setor Preparação* Manutenção-19/04/2024------ Voltou da manutenção dia 19/06/2024 e entregue para preparação.</t>
  </si>
  <si>
    <t>Peneira 0,075mm (Nº200)</t>
  </si>
  <si>
    <t>PENEIRA 8X2´´ NR.30 - 0,0600MM INOX</t>
  </si>
  <si>
    <t>Peneira inox 8x2 N40 abertura 0,426mm. Precisa de calibração.</t>
  </si>
  <si>
    <t>Peneira inox 8x2 N100 abertura 0,151mm. Precisa de calibração.</t>
  </si>
  <si>
    <t>Peneira de malha 200 - 0,075mm INOX ESTOQUE</t>
  </si>
  <si>
    <t>Em uso para o pen fino. Peneira 0,425mm(Nº40</t>
  </si>
  <si>
    <t>PENEIRA 8X2\'\' NR.10 - 2,00mm INOX</t>
  </si>
  <si>
    <t>Em uso para o pen grosso. PENEIRA 8X2´´ NR.3/8\\\" - 9,5 MM INOX</t>
  </si>
  <si>
    <t>PENEIRA 8X2´´ NR.3/4 - 19MM INOX</t>
  </si>
  <si>
    <t>PENEIRA NR.1\\\" -25,00MM INOX ENSAIO ESPECIAIS</t>
  </si>
  <si>
    <t>PENEIRA 8X2\'\' NR.1.1/2\'\' - 37,50MM INOX</t>
  </si>
  <si>
    <t>Peneira de análise granulométrica Abert 50mm Malha 2</t>
  </si>
  <si>
    <t>Balança de capacidade 15kg Setor: Sed/Peneiramento Grosso</t>
  </si>
  <si>
    <t>Tanque para banho de provetas com aquecimento para ensaio de sedimentação. Tanque de 18.</t>
  </si>
  <si>
    <t>Tanque banho maria para ensaio de sedimentação com capacidade para 20 provetas.</t>
  </si>
  <si>
    <t>Tanque para banho de provetas com aquecimento para ensaio de sedimentação.</t>
  </si>
  <si>
    <t>Peneira de malha 200 usada para lavagem na sedimentação.</t>
  </si>
  <si>
    <t>Em uso para o pen grosso. PENEIRA 8X2´´ NR.2\\\" - 50 MM INOX</t>
  </si>
  <si>
    <t>PENEIRA 8X2´´ NR.200 - 0,075MM INOX</t>
  </si>
  <si>
    <t>Peneira de malha 200 - 0,075mm INOX Em uso para a sedimentação 13/03/2025 Pendente Calibração</t>
  </si>
  <si>
    <t>Peneira de análise granulométrica Abert 75mm Malha 200</t>
  </si>
  <si>
    <t>Brasil Solos</t>
  </si>
  <si>
    <t>DENSÍMETRO PARA ENSAIO DE SEDIMENTAÇÃO</t>
  </si>
  <si>
    <t>Peneira granulométrica - 200</t>
  </si>
  <si>
    <t>Peneira de Análise Granulométrica</t>
  </si>
  <si>
    <t>Peneira de Análise Granulométrica - 200</t>
  </si>
  <si>
    <t>Balança de Precisão Marte modelo AD 5002 - 5010 g Resolução 0,01gSetor entregue Especiais.</t>
  </si>
  <si>
    <t>Balança eletrônica digital 2200 g - Bel *Setor Especiais/Umid*</t>
  </si>
  <si>
    <t>Peneira para análise granulométrica Abertura 2,36mm - 8\\\'\\\'x2\\\'\\\' - Malha 8y</t>
  </si>
  <si>
    <t>PENEIRA 8X2\'\' NR.30 - 0600MM INOX</t>
  </si>
  <si>
    <t>PENEIRA 8X2´´ NR.30 - 0,600MM INOX</t>
  </si>
  <si>
    <t>PENEIRA 8X2´´ NR.4- 100 MM INOX</t>
  </si>
  <si>
    <t>PENEIRA 8X2´´ NR.60- 0,250MM INOX</t>
  </si>
  <si>
    <t>PENEIRA 8X2´´ NR.100 - 0,150MM INOX</t>
  </si>
  <si>
    <t>PENEIRA 8X2´´ NR.2\\\\\\\" - 50MM INOX</t>
  </si>
  <si>
    <t>PENEIRA 8X2´´ NR.16 - 1,18 MM INOX</t>
  </si>
  <si>
    <t>PENEIRA 8X2´´ NR.40 - 0,425 MM INOX</t>
  </si>
  <si>
    <t>PENEIRA´´ NR.1/2\\\" - 12,5MM INOX</t>
  </si>
  <si>
    <t>PENEIRA NR.10 - 2,00MM INOX</t>
  </si>
  <si>
    <t>Peneira0,600mm(Nº30)</t>
  </si>
  <si>
    <t>Peneira inox 8x2 N 10 abertura 2,01mm. Precisa de calibração.</t>
  </si>
  <si>
    <t>Peneira inox 8x2 2\'\' abertura 50,01mm. Precisa de calibração.</t>
  </si>
  <si>
    <t>Peneira inox 8x2 1/4 abertura 6,31mm. Precisa de calibração.</t>
  </si>
  <si>
    <t>Peneira inox 8x2 1 \" abertura 25,01mm. Precisa de calibração.</t>
  </si>
  <si>
    <t>Peneira inox 8x2 3/8 abertura 9,51mm. Precisa de calibração.</t>
  </si>
  <si>
    <t>Peneira inox 8x2 N16 abertura 1,19mm. Precisa de calibração.</t>
  </si>
  <si>
    <t>Peneira inox 8x2 N30 abertura 0,61mm. Precisa de calibração</t>
  </si>
  <si>
    <t>Sigla</t>
  </si>
  <si>
    <t>PEN-147</t>
  </si>
  <si>
    <t>PEN-124</t>
  </si>
  <si>
    <t>PEN-158 / PN-60</t>
  </si>
  <si>
    <t>PEN-087 / PN-53</t>
  </si>
  <si>
    <t>PEN-152</t>
  </si>
  <si>
    <t>PEN-159</t>
  </si>
  <si>
    <t>PAQ-005</t>
  </si>
  <si>
    <t>PAQ-003</t>
  </si>
  <si>
    <t>PAQ-001</t>
  </si>
  <si>
    <t>Jomarca</t>
  </si>
  <si>
    <t>PRO-152</t>
  </si>
  <si>
    <t>PRO-151</t>
  </si>
  <si>
    <t>PRO-150</t>
  </si>
  <si>
    <t>PRO-149</t>
  </si>
  <si>
    <t>PRO-148</t>
  </si>
  <si>
    <t>PRO-146</t>
  </si>
  <si>
    <t>PRO-147</t>
  </si>
  <si>
    <t>PRO-145</t>
  </si>
  <si>
    <t>PRO-144</t>
  </si>
  <si>
    <t>PRO-143</t>
  </si>
  <si>
    <t>PRO-142</t>
  </si>
  <si>
    <t>PRO-141</t>
  </si>
  <si>
    <t>PRO-140</t>
  </si>
  <si>
    <t>PRO-139</t>
  </si>
  <si>
    <t>PRO-138</t>
  </si>
  <si>
    <t>PRO-137</t>
  </si>
  <si>
    <t>PRO-136</t>
  </si>
  <si>
    <t>PRO-135</t>
  </si>
  <si>
    <t>PRO-134</t>
  </si>
  <si>
    <t>PRO-133</t>
  </si>
  <si>
    <t>PRO-131</t>
  </si>
  <si>
    <t>PRO-132</t>
  </si>
  <si>
    <t>PRO-127</t>
  </si>
  <si>
    <t>PRO-129</t>
  </si>
  <si>
    <t>PRO-128</t>
  </si>
  <si>
    <t>PRO-130</t>
  </si>
  <si>
    <t>PRO-125</t>
  </si>
  <si>
    <t>PRO-124</t>
  </si>
  <si>
    <t>PRO-123</t>
  </si>
  <si>
    <t>PRO-122</t>
  </si>
  <si>
    <t>PRO-121</t>
  </si>
  <si>
    <t>PRO-120</t>
  </si>
  <si>
    <t>PRO-119</t>
  </si>
  <si>
    <t>PRO-118</t>
  </si>
  <si>
    <t>PRO-117</t>
  </si>
  <si>
    <t>PRO-116</t>
  </si>
  <si>
    <t>PRO-115</t>
  </si>
  <si>
    <t>PRO-113</t>
  </si>
  <si>
    <t>PRO-114</t>
  </si>
  <si>
    <t>PRO-112</t>
  </si>
  <si>
    <t>PRO-111</t>
  </si>
  <si>
    <t>PRO-091</t>
  </si>
  <si>
    <t>PRO-102</t>
  </si>
  <si>
    <t>PRO-110</t>
  </si>
  <si>
    <t>PRO-106</t>
  </si>
  <si>
    <t>PRO-107</t>
  </si>
  <si>
    <t>PRO-104</t>
  </si>
  <si>
    <t>PRO-105</t>
  </si>
  <si>
    <t>PRO-103</t>
  </si>
  <si>
    <t>PRO-101</t>
  </si>
  <si>
    <t>PRO-099</t>
  </si>
  <si>
    <t>PRO-097</t>
  </si>
  <si>
    <t>PRO-096</t>
  </si>
  <si>
    <t>PRO-094</t>
  </si>
  <si>
    <t>PRO-093</t>
  </si>
  <si>
    <t>PRO-092</t>
  </si>
  <si>
    <t>PRO-090</t>
  </si>
  <si>
    <t>PRO-089</t>
  </si>
  <si>
    <t>PRO-087</t>
  </si>
  <si>
    <t>PRO-086</t>
  </si>
  <si>
    <t>PRO-082</t>
  </si>
  <si>
    <t>PRO-077</t>
  </si>
  <si>
    <t>PRO-073</t>
  </si>
  <si>
    <t>PRO-081</t>
  </si>
  <si>
    <t>PRO-080</t>
  </si>
  <si>
    <t>PRO-075</t>
  </si>
  <si>
    <t>PRO-074</t>
  </si>
  <si>
    <t>PRO-071</t>
  </si>
  <si>
    <t>PRO-069</t>
  </si>
  <si>
    <t>PRO-067</t>
  </si>
  <si>
    <t>PRO-066</t>
  </si>
  <si>
    <t>PRO-065</t>
  </si>
  <si>
    <t>PRO-062</t>
  </si>
  <si>
    <t>PRO-059</t>
  </si>
  <si>
    <t>PRO-061</t>
  </si>
  <si>
    <t>PRO-060</t>
  </si>
  <si>
    <t>PRO-057</t>
  </si>
  <si>
    <t>PRO-055</t>
  </si>
  <si>
    <t>PRO-051</t>
  </si>
  <si>
    <t>PRO-049</t>
  </si>
  <si>
    <t>PRO-047</t>
  </si>
  <si>
    <t>PRO-046</t>
  </si>
  <si>
    <t>PRO-045</t>
  </si>
  <si>
    <t>PRO-044</t>
  </si>
  <si>
    <t>PRO-042</t>
  </si>
  <si>
    <t>PRO-037</t>
  </si>
  <si>
    <t>PRO-036</t>
  </si>
  <si>
    <t>PRO-035</t>
  </si>
  <si>
    <t>PRO-034</t>
  </si>
  <si>
    <t>PRO-033</t>
  </si>
  <si>
    <t>PRO-027</t>
  </si>
  <si>
    <t>PRO-025</t>
  </si>
  <si>
    <t>PRO-023</t>
  </si>
  <si>
    <t>PRO-014</t>
  </si>
  <si>
    <t>PRO-013</t>
  </si>
  <si>
    <t>PRO-012</t>
  </si>
  <si>
    <t>PRO-008</t>
  </si>
  <si>
    <t>PRO-007</t>
  </si>
  <si>
    <t>PRO-006</t>
  </si>
  <si>
    <t>PRO-005</t>
  </si>
  <si>
    <t>PRO-002</t>
  </si>
  <si>
    <t>PRO-001</t>
  </si>
  <si>
    <t>Proveta graduada vidro de 1000ml com bico e base para ensaio de sedimentação. Sem calibração.</t>
  </si>
  <si>
    <t> Proveta graduada vidro de 1000ml com bico e base para ensaio de sedimentação. Sem calibração.</t>
  </si>
  <si>
    <t>Proveta de vidro graduada com bico 1000ml.Sem calibração.</t>
  </si>
  <si>
    <t>Proveta de vidro graduada com bico 1000ml.</t>
  </si>
  <si>
    <t>Proveta de vidro graduada com bico 1000ml</t>
  </si>
  <si>
    <t>Eco Fomras</t>
  </si>
  <si>
    <t> Proveta de vidro graduada com bico 1000ml.</t>
  </si>
  <si>
    <t>Proveta de vidro graduada com bico 1000ml. </t>
  </si>
  <si>
    <t>Proveta de plástico 1000ml graduada com bico.</t>
  </si>
  <si>
    <t>Nalgon</t>
  </si>
  <si>
    <t>Proveta de plástico 1000ml graduada com bico</t>
  </si>
  <si>
    <t>Proveta sem bico graduada 1.000ml com base plástica</t>
  </si>
  <si>
    <t>Proveta sem bico graduada 1000ml com base plástica</t>
  </si>
  <si>
    <t>Proveta sem bico graduada 1.000ml</t>
  </si>
  <si>
    <t>Proveta de vidro sem graduação e bico 1000ml (em uso)</t>
  </si>
  <si>
    <t>Proveta de vidro sem graduação e bico 1000ml</t>
  </si>
  <si>
    <t>Proveta de vidro sem graduação e sem bico 1000ml</t>
  </si>
  <si>
    <t>Proveta de vidro graduada 1000ml</t>
  </si>
  <si>
    <t>Deltex</t>
  </si>
  <si>
    <t>Proveta de vidro 1000ml -&gt; Sem graduação e sem bico vertedor</t>
  </si>
  <si>
    <t>Proveta de vidro 1000ml -&gt; Com graduação e sem bico vertedor</t>
  </si>
  <si>
    <t>Proveta plástica graduada 1000ml</t>
  </si>
  <si>
    <t>Proveta plástica graduada 250ml</t>
  </si>
  <si>
    <t>Proveta vidro graduada 250ml</t>
  </si>
  <si>
    <t>Phox</t>
  </si>
  <si>
    <t>Proveta vidro graduada 1000ml</t>
  </si>
  <si>
    <t>LaborGlas</t>
  </si>
  <si>
    <t>PRO-030</t>
  </si>
  <si>
    <t xml:space="preserve"> Proveta vidro graduada 1000ml</t>
  </si>
  <si>
    <t xml:space="preserve"> Proveta vidro graduada 250ml</t>
  </si>
  <si>
    <t>PRO-095</t>
  </si>
  <si>
    <t>PRO-076</t>
  </si>
  <si>
    <t>PRO-040</t>
  </si>
  <si>
    <t>PRO-108</t>
  </si>
  <si>
    <t>PRO-038</t>
  </si>
  <si>
    <t>PRO-085</t>
  </si>
  <si>
    <t>PRO-053</t>
  </si>
  <si>
    <t>PRO-100</t>
  </si>
  <si>
    <t>PRO-126</t>
  </si>
  <si>
    <t>PRO-084</t>
  </si>
  <si>
    <t>PRO-063</t>
  </si>
  <si>
    <t>PRO-039</t>
  </si>
  <si>
    <t>PRO-109</t>
  </si>
  <si>
    <t>PRO-078</t>
  </si>
  <si>
    <t>PRO-041</t>
  </si>
  <si>
    <t>PRO-079</t>
  </si>
  <si>
    <t>PRO-083</t>
  </si>
  <si>
    <t>PRO-088</t>
  </si>
  <si>
    <t>PRO-098</t>
  </si>
  <si>
    <t>PRO-153</t>
  </si>
  <si>
    <t>PRO-154</t>
  </si>
  <si>
    <t>PRO-155</t>
  </si>
  <si>
    <t>PRO-156</t>
  </si>
  <si>
    <t>PRO-157</t>
  </si>
  <si>
    <t>PRO-158</t>
  </si>
  <si>
    <t>PRO-159</t>
  </si>
  <si>
    <t>PRO-160</t>
  </si>
  <si>
    <t>PRO-161</t>
  </si>
  <si>
    <t>PRO-162</t>
  </si>
  <si>
    <t>PRO-163</t>
  </si>
  <si>
    <t>PRO-164</t>
  </si>
  <si>
    <t>PRO-165</t>
  </si>
  <si>
    <t>PRO-166</t>
  </si>
  <si>
    <t>PRO-167</t>
  </si>
  <si>
    <t>PRO-031</t>
  </si>
  <si>
    <t>PRO-070</t>
  </si>
  <si>
    <t>PRO-010</t>
  </si>
  <si>
    <t>PRO-072</t>
  </si>
  <si>
    <t>PRO-021</t>
  </si>
  <si>
    <t>PRO-054</t>
  </si>
  <si>
    <t>PRO-022</t>
  </si>
  <si>
    <t>PRO-017</t>
  </si>
  <si>
    <t>PRO-019</t>
  </si>
  <si>
    <t>PRO-068</t>
  </si>
  <si>
    <t>PRO-050</t>
  </si>
  <si>
    <t>PRO-016</t>
  </si>
  <si>
    <t>PRO-052</t>
  </si>
  <si>
    <t>PRO-058</t>
  </si>
  <si>
    <t>PRO-056</t>
  </si>
  <si>
    <t>PRO-004</t>
  </si>
  <si>
    <t>PRO-048</t>
  </si>
  <si>
    <t>PRO-020</t>
  </si>
  <si>
    <t>PRO-018</t>
  </si>
  <si>
    <t>PRO-003</t>
  </si>
  <si>
    <t>PRO-011</t>
  </si>
  <si>
    <t>PRO-024</t>
  </si>
  <si>
    <t>PRO-064</t>
  </si>
  <si>
    <t>PRO-015</t>
  </si>
  <si>
    <t>PRO-043</t>
  </si>
  <si>
    <t>PRO-026</t>
  </si>
  <si>
    <t>PRO-029</t>
  </si>
  <si>
    <t>PRO-032</t>
  </si>
  <si>
    <t>PRO-028</t>
  </si>
  <si>
    <t>PRO-009</t>
  </si>
  <si>
    <t>Proveta 1000 ml Vidro Graduada 1000 Ml com base Polie</t>
  </si>
  <si>
    <t>DEN-007</t>
  </si>
  <si>
    <t>Densímetro para ensaio de sedimentação.</t>
  </si>
  <si>
    <t>Pyromed</t>
  </si>
  <si>
    <t>REL-003</t>
  </si>
  <si>
    <t>REL-001-EXP</t>
  </si>
  <si>
    <t>THD-002</t>
  </si>
  <si>
    <t>Relógio Digital Marca Hora Temperatura Umidade Do Ar + Alarm</t>
  </si>
  <si>
    <t>YYINS</t>
  </si>
  <si>
    <t>YS17627W</t>
  </si>
  <si>
    <t>Relógio Comparador Digimess capacidade 0-10mm e graduação 0,01mm - Exp Em uso no CBR.</t>
  </si>
  <si>
    <t>Digimess</t>
  </si>
  <si>
    <t>DIS-006</t>
  </si>
  <si>
    <t>Dispersor de solos velocidade variável 220v. Entregue as meninas da sedimentação</t>
  </si>
  <si>
    <t>Engetotus</t>
  </si>
  <si>
    <t>Dispersor de Solos</t>
  </si>
  <si>
    <t>Casagrande utilizado para o ensaio de Limite de liquidez.</t>
  </si>
  <si>
    <t>PEN-154</t>
  </si>
  <si>
    <t>PEN-137</t>
  </si>
  <si>
    <t>F</t>
  </si>
  <si>
    <t>N10</t>
  </si>
  <si>
    <t>N60</t>
  </si>
  <si>
    <t>REL-005</t>
  </si>
  <si>
    <t>Relógio Comparador Digimess capacidade 0-10mm e graduação 0,01mm - AD</t>
  </si>
  <si>
    <t>0-10mm/0,01mm</t>
  </si>
  <si>
    <t>CASA-005</t>
  </si>
  <si>
    <t>CASA-006</t>
  </si>
  <si>
    <t xml:space="preserve">Equipamento </t>
  </si>
  <si>
    <t>Vencimento</t>
  </si>
  <si>
    <t>Multiuso Especiais</t>
  </si>
  <si>
    <t>0243</t>
  </si>
  <si>
    <t>0244</t>
  </si>
  <si>
    <t>MP01</t>
  </si>
  <si>
    <t>CSR-ST (Referência 1.022.220)</t>
  </si>
  <si>
    <t>20110331/112502008</t>
  </si>
  <si>
    <t>20110936/120700613</t>
  </si>
  <si>
    <t>AD500 (Classe II</t>
  </si>
  <si>
    <t>377958 - Compactação</t>
  </si>
  <si>
    <t>AD5002</t>
  </si>
  <si>
    <t>452558 - Compactação</t>
  </si>
  <si>
    <t>9094C/5</t>
  </si>
  <si>
    <t>12657700 - Compactação</t>
  </si>
  <si>
    <t>26908408-3 - Compactação</t>
  </si>
  <si>
    <t>9094C/10</t>
  </si>
  <si>
    <t>13793425 - Compactação</t>
  </si>
  <si>
    <t>-</t>
  </si>
  <si>
    <t>K0010/2018 - Compactação</t>
  </si>
  <si>
    <t>Q317M-72</t>
  </si>
  <si>
    <t>AF070469</t>
  </si>
  <si>
    <t>Malha 1.1/2 Peneira de análise granulométrica Abert 37,5mm</t>
  </si>
  <si>
    <t>Ø 8x2”</t>
  </si>
  <si>
    <t>1.1/2Y</t>
  </si>
  <si>
    <t>Ø 8x2” Abert 2,00mm Malha 10</t>
  </si>
  <si>
    <t>10Y</t>
  </si>
  <si>
    <t>PRIX 3/14 (Classe III)</t>
  </si>
  <si>
    <t>10764973 - Dosagem</t>
  </si>
  <si>
    <t>12,500mm - N1/2 - Malha 40</t>
  </si>
  <si>
    <t>PC-24/22</t>
  </si>
  <si>
    <t>Abert 4,75mm Malha 4</t>
  </si>
  <si>
    <t>107613</t>
  </si>
  <si>
    <t>Classe M3 OIML</t>
  </si>
  <si>
    <t>000 000 295</t>
  </si>
  <si>
    <t>000 000 309</t>
  </si>
  <si>
    <t>000 000 359</t>
  </si>
  <si>
    <t>MS 151</t>
  </si>
  <si>
    <t>0235</t>
  </si>
  <si>
    <t>27 - WF 2160</t>
  </si>
  <si>
    <t>1300374</t>
  </si>
  <si>
    <t>MS 102</t>
  </si>
  <si>
    <t>0300</t>
  </si>
  <si>
    <t>WF0273/A</t>
  </si>
  <si>
    <t>08</t>
  </si>
  <si>
    <t>02</t>
  </si>
  <si>
    <t>05</t>
  </si>
  <si>
    <t>01</t>
  </si>
  <si>
    <t>WF0275/A</t>
  </si>
  <si>
    <t>WF0271/A</t>
  </si>
  <si>
    <t>04</t>
  </si>
  <si>
    <t>WF0270/A</t>
  </si>
  <si>
    <t>WF0272/A</t>
  </si>
  <si>
    <t>WF0274/A</t>
  </si>
  <si>
    <t>11</t>
  </si>
  <si>
    <t>09</t>
  </si>
  <si>
    <t>WF0277/A</t>
  </si>
  <si>
    <t>25,00mm (Nº1´´)</t>
  </si>
  <si>
    <t>PEN N200</t>
  </si>
  <si>
    <t>9,50mm (3/8´´)</t>
  </si>
  <si>
    <t>0,425mm(Nº40)</t>
  </si>
  <si>
    <t>445054</t>
  </si>
  <si>
    <t>8x2” Abertura16,00mm - 5/8\\\'</t>
  </si>
  <si>
    <t>16y</t>
  </si>
  <si>
    <t>1214702/13</t>
  </si>
  <si>
    <t>Elétrico</t>
  </si>
  <si>
    <t>002</t>
  </si>
  <si>
    <t>004</t>
  </si>
  <si>
    <t>003</t>
  </si>
  <si>
    <t>377959 - LL &amp; LP</t>
  </si>
  <si>
    <t>Digital Elétrico</t>
  </si>
  <si>
    <t>CGE-01/22</t>
  </si>
  <si>
    <t>3560</t>
  </si>
  <si>
    <t>Relógio comparador 0-10mm/0,01mm</t>
  </si>
  <si>
    <t>959508/11</t>
  </si>
  <si>
    <t>452560</t>
  </si>
  <si>
    <t>18101151</t>
  </si>
  <si>
    <t>467193</t>
  </si>
  <si>
    <t>Digital 200mm</t>
  </si>
  <si>
    <t>Balança AD5000</t>
  </si>
  <si>
    <t>AS 2000C</t>
  </si>
  <si>
    <t>312755 - MCT.C</t>
  </si>
  <si>
    <t>Abert 1,18mm Malha 16</t>
  </si>
  <si>
    <t>Abert 0,60mm Malha 30</t>
  </si>
  <si>
    <t>Abert 150mm Malha 100</t>
  </si>
  <si>
    <t>04Y</t>
  </si>
  <si>
    <t>13050023</t>
  </si>
  <si>
    <t>16Y</t>
  </si>
  <si>
    <t>30Y</t>
  </si>
  <si>
    <t>100Y</t>
  </si>
  <si>
    <t>0,250mm (Nº60)</t>
  </si>
  <si>
    <t>Malha 200</t>
  </si>
  <si>
    <t>490057</t>
  </si>
  <si>
    <t>Fundo 8x2´</t>
  </si>
  <si>
    <t>S2202h (Classe II)</t>
  </si>
  <si>
    <t>BE2000590</t>
  </si>
  <si>
    <t>1,18 mm (nº16)</t>
  </si>
  <si>
    <t>0,425 mm (nº40)</t>
  </si>
  <si>
    <t>3Y850023</t>
  </si>
  <si>
    <t>0,600mm(Nº30)</t>
  </si>
  <si>
    <t>445063</t>
  </si>
  <si>
    <t>ONIBR923</t>
  </si>
  <si>
    <t>0,250mm (nº60)</t>
  </si>
  <si>
    <t>2H0X8N23</t>
  </si>
  <si>
    <t>0,150 MM (Nº100)</t>
  </si>
  <si>
    <t>I3V68Z23</t>
  </si>
  <si>
    <t>487604</t>
  </si>
  <si>
    <t>BE1800971</t>
  </si>
  <si>
    <t>BE1800696</t>
  </si>
  <si>
    <t>0,075mm (Nº200)</t>
  </si>
  <si>
    <t>463855</t>
  </si>
  <si>
    <t>0,600mm (Nº30)</t>
  </si>
  <si>
    <t>Q9050B23</t>
  </si>
  <si>
    <t>PEN N40</t>
  </si>
  <si>
    <t>PEN N100</t>
  </si>
  <si>
    <t>487603</t>
  </si>
  <si>
    <t>445055</t>
  </si>
  <si>
    <t>2,00mm (Nº10)</t>
  </si>
  <si>
    <t>9,5 mm (nº3/8\\\")</t>
  </si>
  <si>
    <t>W5641523</t>
  </si>
  <si>
    <t>19 MM (Nº3/4)</t>
  </si>
  <si>
    <t>0LPT8C23</t>
  </si>
  <si>
    <t>25,00 MM (Nº1\\\")</t>
  </si>
  <si>
    <t>6896R023</t>
  </si>
  <si>
    <t>37,50mm (1.1/2´´)</t>
  </si>
  <si>
    <t>Abert 50mm Malha 2</t>
  </si>
  <si>
    <t>100444</t>
  </si>
  <si>
    <t>9094C/12</t>
  </si>
  <si>
    <t>13612281</t>
  </si>
  <si>
    <t>12070957</t>
  </si>
  <si>
    <t>Tanque para banho</t>
  </si>
  <si>
    <t>Malha 200 (3201200)</t>
  </si>
  <si>
    <t>495399</t>
  </si>
  <si>
    <t>50 MM (Nº2\\\")</t>
  </si>
  <si>
    <t>5CS4Z123</t>
  </si>
  <si>
    <t>455289</t>
  </si>
  <si>
    <t>N200</t>
  </si>
  <si>
    <t>487602</t>
  </si>
  <si>
    <t>463867</t>
  </si>
  <si>
    <t>200Y</t>
  </si>
  <si>
    <t>0,995/1050</t>
  </si>
  <si>
    <t>3768/22</t>
  </si>
  <si>
    <t>495396</t>
  </si>
  <si>
    <t>500462</t>
  </si>
  <si>
    <t>500429</t>
  </si>
  <si>
    <t>500430</t>
  </si>
  <si>
    <t>467181</t>
  </si>
  <si>
    <t>S2202 (Classe II)</t>
  </si>
  <si>
    <t>BE25000220</t>
  </si>
  <si>
    <t>BEL</t>
  </si>
  <si>
    <t>Marte Científica</t>
  </si>
  <si>
    <t>8x2” 2,36mm</t>
  </si>
  <si>
    <t>8Y</t>
  </si>
  <si>
    <t>8X2´´ NR.30 - 0,600MM INOX</t>
  </si>
  <si>
    <t>N747OF23</t>
  </si>
  <si>
    <t>91X6AC23</t>
  </si>
  <si>
    <t>100 MM (Nº4)</t>
  </si>
  <si>
    <t>842J8C23</t>
  </si>
  <si>
    <t>MTLSVN23</t>
  </si>
  <si>
    <t>02SOD223</t>
  </si>
  <si>
    <t>0G71Q323</t>
  </si>
  <si>
    <t>7RD5J423</t>
  </si>
  <si>
    <t>Q6LFIC23</t>
  </si>
  <si>
    <t>57YFKL23</t>
  </si>
  <si>
    <t>12,5 MM(Nº 1/2\\\")</t>
  </si>
  <si>
    <t>8D44PZ23</t>
  </si>
  <si>
    <t>59Z8F523</t>
  </si>
  <si>
    <t>445052</t>
  </si>
  <si>
    <t>Nº2</t>
  </si>
  <si>
    <t>PEN 1/4</t>
  </si>
  <si>
    <t>PEN 1 \"</t>
  </si>
  <si>
    <t>PEN 3/8</t>
  </si>
  <si>
    <t>PEN N16</t>
  </si>
  <si>
    <t>PEN N30</t>
  </si>
  <si>
    <t>490055</t>
  </si>
  <si>
    <t>PEN N10</t>
  </si>
  <si>
    <t>PEN N60</t>
  </si>
  <si>
    <t>250um, Malha n.60</t>
  </si>
  <si>
    <t xml:space="preserve">Peneira 8x2 Número 200 - abertura 0,75mm </t>
  </si>
  <si>
    <t>495397</t>
  </si>
  <si>
    <t>Peneira sem numero de série</t>
  </si>
  <si>
    <t>Malha 63MM</t>
  </si>
  <si>
    <t>Paquímetro digital 150mm</t>
  </si>
  <si>
    <t>Digital</t>
  </si>
  <si>
    <t>005</t>
  </si>
  <si>
    <t>PAQUIMETRO DIGITAL 08 200MM CURSOR ACO 7VT EDA</t>
  </si>
  <si>
    <t>Digital 300mm/12</t>
  </si>
  <si>
    <t>2011/65</t>
  </si>
  <si>
    <t>Paquímetro</t>
  </si>
  <si>
    <t>057 20046</t>
  </si>
  <si>
    <t>Vidro 1000ml</t>
  </si>
  <si>
    <t>Vidro 250ml</t>
  </si>
  <si>
    <t>PY5846.4.4</t>
  </si>
  <si>
    <t>00080-21</t>
  </si>
  <si>
    <t>03986-20</t>
  </si>
  <si>
    <t>7917358</t>
  </si>
  <si>
    <t>500461</t>
  </si>
  <si>
    <t>Aparelho Casa Grande Manual com contador + cinzeis</t>
  </si>
  <si>
    <t>Manual</t>
  </si>
  <si>
    <t>728715-001</t>
  </si>
  <si>
    <t>Aparelho Casagrande Manual com cinzeis</t>
  </si>
  <si>
    <t>006</t>
  </si>
  <si>
    <t>DIS-003</t>
  </si>
  <si>
    <t>BRASIL SOLOS</t>
  </si>
  <si>
    <t>Dispersor de Amostras Solos com Copo - Inox e Chicana 220V</t>
  </si>
  <si>
    <t>BMK220CC5</t>
  </si>
  <si>
    <t>009390</t>
  </si>
  <si>
    <t>Dispersor de solos</t>
  </si>
  <si>
    <t>157</t>
  </si>
  <si>
    <t>ENGETOTUS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</si>
</sst>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/\ yyyy"/>
  </numFmts>
  <fonts count="3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8"/>
      <name val="Arial"/>
    </font>
    <font>
      <u/>
      <sz val="11"/>
      <color theme="1"/>
      <name val="Calibri"/>
      <family val="2"/>
    </font>
    <font>
      <i/>
      <u/>
      <sz val="11"/>
      <color theme="1"/>
      <name val="Arial"/>
      <family val="2"/>
    </font>
    <font>
      <b/>
      <sz val="20"/>
      <color theme="0" tint="-4.9989318521683403E-2"/>
      <name val="Arial"/>
      <family val="2"/>
    </font>
    <font>
      <sz val="20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676A6C"/>
      <name val="Arial"/>
      <family val="2"/>
    </font>
    <font>
      <sz val="16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36"/>
      <color theme="0" tint="-4.9989318521683403E-2"/>
      <name val="Aptos Black"/>
      <family val="2"/>
    </font>
    <font>
      <i/>
      <sz val="14"/>
      <color theme="1"/>
      <name val="Arial"/>
      <family val="2"/>
    </font>
    <font>
      <sz val="11"/>
      <color rgb="FF676A6C"/>
      <name val="Calibri"/>
      <family val="2"/>
      <scheme val="minor"/>
    </font>
    <font>
      <sz val="11"/>
      <color rgb="FF676A6C"/>
      <name val="Calibri"/>
      <family val="2"/>
      <scheme val="minor"/>
    </font>
    <font>
      <sz val="7"/>
      <color rgb="FF676A6C"/>
      <name val="Arial"/>
      <family val="2"/>
    </font>
    <font>
      <b/>
      <sz val="11"/>
      <color theme="1"/>
      <name val="Arial"/>
      <family val="2"/>
    </font>
    <font>
      <sz val="7"/>
      <color rgb="FF676A6C"/>
      <name val="Arial"/>
      <family val="2"/>
    </font>
    <font>
      <sz val="11"/>
      <color rgb="FF676A6C"/>
      <name val="Arial"/>
      <family val="2"/>
    </font>
    <font>
      <u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B8B7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5" fillId="0" borderId="0" xfId="0" applyFont="1"/>
    <xf numFmtId="0" fontId="14" fillId="2" borderId="2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/>
    <xf numFmtId="14" fontId="15" fillId="0" borderId="0" xfId="0" applyNumberFormat="1" applyFont="1" applyAlignment="1">
      <alignment horizontal="center"/>
    </xf>
    <xf numFmtId="0" fontId="15" fillId="0" borderId="2" xfId="0" applyFont="1" applyBorder="1"/>
    <xf numFmtId="0" fontId="0" fillId="0" borderId="2" xfId="0" applyBorder="1"/>
    <xf numFmtId="0" fontId="15" fillId="0" borderId="1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20" fillId="13" borderId="1" xfId="0" applyFont="1" applyFill="1" applyBorder="1" applyAlignment="1">
      <alignment horizontal="center" vertical="center"/>
    </xf>
    <xf numFmtId="0" fontId="0" fillId="13" borderId="0" xfId="0" applyFill="1"/>
    <xf numFmtId="0" fontId="23" fillId="14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/>
    </xf>
    <xf numFmtId="0" fontId="15" fillId="0" borderId="1" xfId="0" applyFont="1" applyBorder="1"/>
    <xf numFmtId="14" fontId="0" fillId="0" borderId="0" xfId="0" applyNumberFormat="1"/>
    <xf numFmtId="0" fontId="15" fillId="0" borderId="0" xfId="0" applyFont="1" applyAlignment="1">
      <alignment horizontal="center" vertical="center"/>
    </xf>
    <xf numFmtId="0" fontId="0" fillId="15" borderId="0" xfId="0" applyFill="1"/>
    <xf numFmtId="0" fontId="25" fillId="15" borderId="0" xfId="0" applyFont="1" applyFill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0" fillId="0" borderId="1" xfId="0" applyBorder="1"/>
    <xf numFmtId="0" fontId="10" fillId="0" borderId="3" xfId="0" applyFont="1" applyBorder="1" applyAlignment="1">
      <alignment horizontal="center" vertical="center" wrapText="1"/>
    </xf>
    <xf numFmtId="0" fontId="14" fillId="0" borderId="2" xfId="0" applyFont="1" applyBorder="1"/>
    <xf numFmtId="0" fontId="11" fillId="5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 wrapText="1"/>
    </xf>
    <xf numFmtId="14" fontId="12" fillId="9" borderId="4" xfId="0" applyNumberFormat="1" applyFont="1" applyFill="1" applyBorder="1" applyAlignment="1">
      <alignment horizontal="center" vertical="center" wrapText="1"/>
    </xf>
    <xf numFmtId="14" fontId="12" fillId="2" borderId="4" xfId="0" applyNumberFormat="1" applyFont="1" applyFill="1" applyBorder="1" applyAlignment="1">
      <alignment horizontal="center" vertical="center" wrapText="1"/>
    </xf>
    <xf numFmtId="14" fontId="10" fillId="8" borderId="4" xfId="0" applyNumberFormat="1" applyFont="1" applyFill="1" applyBorder="1" applyAlignment="1">
      <alignment horizontal="center" vertical="center"/>
    </xf>
    <xf numFmtId="14" fontId="12" fillId="9" borderId="1" xfId="0" applyNumberFormat="1" applyFont="1" applyFill="1" applyBorder="1" applyAlignment="1">
      <alignment horizontal="center" vertical="center" wrapText="1"/>
    </xf>
    <xf numFmtId="14" fontId="10" fillId="8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vertical="center"/>
    </xf>
    <xf numFmtId="14" fontId="13" fillId="2" borderId="2" xfId="0" applyNumberFormat="1" applyFont="1" applyFill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22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14" fontId="0" fillId="0" borderId="2" xfId="0" applyNumberForma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6" fillId="12" borderId="8" xfId="0" applyFont="1" applyFill="1" applyBorder="1" applyAlignment="1">
      <alignment horizontal="center" vertical="center"/>
    </xf>
    <xf numFmtId="0" fontId="0" fillId="12" borderId="8" xfId="0" applyFill="1" applyBorder="1"/>
    <xf numFmtId="0" fontId="0" fillId="0" borderId="2" xfId="0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4" fontId="30" fillId="2" borderId="2" xfId="0" applyNumberFormat="1" applyFont="1" applyFill="1" applyBorder="1" applyAlignment="1">
      <alignment horizontal="center" vertical="center" wrapText="1"/>
    </xf>
    <xf numFmtId="14" fontId="30" fillId="0" borderId="2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wrapText="1"/>
    </xf>
    <xf numFmtId="14" fontId="3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14" fontId="15" fillId="8" borderId="1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</cellXfs>
  <cellStyles count="1">
    <cellStyle name="Normal" xfId="0" builtinId="0"/>
  </cellStyles>
  <dxfs count="57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CC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5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99"/>
  <sheetViews>
    <sheetView tabSelected="1" zoomScale="70" zoomScaleNormal="70" workbookViewId="0">
      <pane xSplit="2" ySplit="1" topLeftCell="C195" activePane="bottomRight" state="frozen"/>
      <selection pane="topRight" activeCell="C1" sqref="C1"/>
      <selection pane="bottomLeft" activeCell="A2" sqref="A2"/>
      <selection pane="bottomRight" activeCell="P205" sqref="P205"/>
    </sheetView>
  </sheetViews>
  <sheetFormatPr defaultColWidth="12.59765625" defaultRowHeight="38.4" customHeight="1" x14ac:dyDescent="0.3"/>
  <cols>
    <col min="1" max="1" width="8" style="76" customWidth="1"/>
    <col min="2" max="2" width="20.296875" style="49" customWidth="1"/>
    <col min="3" max="3" width="12.59765625" style="69" customWidth="1"/>
    <col min="4" max="4" width="21.19921875" customWidth="1"/>
    <col min="5" max="5" width="11.296875" style="105" customWidth="1"/>
    <col min="6" max="6" width="16.69921875" style="20" customWidth="1"/>
    <col min="7" max="7" width="13.69921875" customWidth="1"/>
    <col min="8" max="8" width="11.09765625" customWidth="1"/>
    <col min="9" max="9" width="11.8984375" customWidth="1"/>
    <col min="10" max="10" width="11.19921875" style="78" customWidth="1"/>
    <col min="11" max="11" width="16.296875" style="83" customWidth="1"/>
    <col min="12" max="12" width="10.59765625" style="47" customWidth="1"/>
    <col min="13" max="13" width="8.796875" style="24" customWidth="1"/>
    <col min="14" max="14" width="12.3984375" style="24" customWidth="1"/>
    <col min="15" max="15" width="7.296875" style="47" customWidth="1"/>
    <col min="16" max="16" width="14" style="91" customWidth="1"/>
    <col min="17" max="17" width="14.796875" style="77" customWidth="1"/>
    <col min="18" max="18" width="9.19921875" style="20" customWidth="1"/>
    <col min="19" max="19" width="26" customWidth="1"/>
    <col min="20" max="20" width="27.8984375" customWidth="1"/>
    <col min="21" max="21" width="30.296875" style="20" customWidth="1"/>
  </cols>
  <sheetData>
    <row r="1" spans="1:21" ht="38.4" customHeight="1" x14ac:dyDescent="0.25">
      <c r="A1" s="45" t="s">
        <v>0</v>
      </c>
      <c r="B1" s="17" t="s">
        <v>1</v>
      </c>
      <c r="C1" s="48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2" t="s">
        <v>9</v>
      </c>
      <c r="K1" s="7" t="s">
        <v>10</v>
      </c>
      <c r="L1" s="48" t="s">
        <v>11</v>
      </c>
      <c r="M1" s="8" t="s">
        <v>413</v>
      </c>
      <c r="N1" s="9" t="s">
        <v>12</v>
      </c>
      <c r="O1" s="50" t="s">
        <v>13</v>
      </c>
      <c r="P1" s="19" t="s">
        <v>79</v>
      </c>
      <c r="Q1" s="59" t="s">
        <v>101</v>
      </c>
      <c r="R1" s="35" t="s">
        <v>227</v>
      </c>
      <c r="S1" s="38" t="s">
        <v>232</v>
      </c>
      <c r="T1" s="38" t="s">
        <v>235</v>
      </c>
      <c r="U1" s="38" t="s">
        <v>241</v>
      </c>
    </row>
    <row r="2" spans="1:21" ht="38.4" customHeight="1" x14ac:dyDescent="0.25">
      <c r="A2" s="46">
        <v>864</v>
      </c>
      <c r="B2" s="18" t="s">
        <v>169</v>
      </c>
      <c r="C2" s="64" t="s">
        <v>309</v>
      </c>
      <c r="D2" s="6" t="s">
        <v>649</v>
      </c>
      <c r="E2" s="98" t="s">
        <v>650</v>
      </c>
      <c r="F2" s="8" t="s">
        <v>212</v>
      </c>
      <c r="G2" s="8"/>
      <c r="H2" s="8"/>
      <c r="I2" s="8"/>
      <c r="J2" s="55">
        <v>45525</v>
      </c>
      <c r="K2" s="71">
        <v>45890</v>
      </c>
      <c r="L2" s="51">
        <v>12</v>
      </c>
      <c r="M2" s="8" t="str">
        <f t="shared" ref="M2:M65" si="0">LEFT(B2,3)</f>
        <v>PRE</v>
      </c>
      <c r="N2" s="10" t="str">
        <f t="shared" ref="N2:N66" ca="1" si="1">IF(K2="","",IF(TODAY()&gt;K2,"SIM","NÃO"))</f>
        <v>NÃO</v>
      </c>
      <c r="O2" s="51"/>
      <c r="P2" s="8" t="s">
        <v>168</v>
      </c>
      <c r="Q2" s="16" t="s">
        <v>82</v>
      </c>
      <c r="R2" s="4" t="s">
        <v>204</v>
      </c>
      <c r="S2" s="4" t="s">
        <v>231</v>
      </c>
      <c r="T2" s="1" t="s">
        <v>231</v>
      </c>
      <c r="U2" s="20" t="s">
        <v>230</v>
      </c>
    </row>
    <row r="3" spans="1:21" ht="38.4" customHeight="1" x14ac:dyDescent="0.25">
      <c r="A3" s="46">
        <v>1257</v>
      </c>
      <c r="B3" s="18" t="s">
        <v>170</v>
      </c>
      <c r="C3" s="65" t="s">
        <v>310</v>
      </c>
      <c r="D3" s="6" t="s">
        <v>652</v>
      </c>
      <c r="E3" s="98" t="s">
        <v>651</v>
      </c>
      <c r="F3" s="8" t="s">
        <v>211</v>
      </c>
      <c r="G3" s="8"/>
      <c r="H3" s="8"/>
      <c r="I3" s="8"/>
      <c r="J3" s="55">
        <v>45859</v>
      </c>
      <c r="K3" s="71">
        <v>46081</v>
      </c>
      <c r="L3" s="51">
        <v>12</v>
      </c>
      <c r="M3" s="8" t="str">
        <f t="shared" si="0"/>
        <v>PRE</v>
      </c>
      <c r="N3" s="10" t="str">
        <f t="shared" ca="1" si="1"/>
        <v>NÃO</v>
      </c>
      <c r="O3" s="51"/>
      <c r="P3" s="8" t="s">
        <v>168</v>
      </c>
      <c r="Q3" s="16" t="s">
        <v>82</v>
      </c>
      <c r="R3" s="4" t="s">
        <v>204</v>
      </c>
      <c r="S3" s="4" t="s">
        <v>231</v>
      </c>
      <c r="T3" s="1" t="s">
        <v>231</v>
      </c>
      <c r="U3" s="20" t="s">
        <v>230</v>
      </c>
    </row>
    <row r="4" spans="1:21" ht="38.4" customHeight="1" x14ac:dyDescent="0.25">
      <c r="A4" s="46">
        <v>59</v>
      </c>
      <c r="B4" s="18" t="s">
        <v>65</v>
      </c>
      <c r="C4" s="64" t="s">
        <v>311</v>
      </c>
      <c r="D4" s="6" t="s">
        <v>653</v>
      </c>
      <c r="E4" s="99" t="s">
        <v>654</v>
      </c>
      <c r="F4" s="8" t="s">
        <v>78</v>
      </c>
      <c r="G4" s="8"/>
      <c r="H4" s="8"/>
      <c r="I4" s="8"/>
      <c r="J4" s="55">
        <v>45859</v>
      </c>
      <c r="K4" s="71">
        <v>46081</v>
      </c>
      <c r="L4" s="51">
        <v>12</v>
      </c>
      <c r="M4" s="8" t="str">
        <f t="shared" si="0"/>
        <v>PRE</v>
      </c>
      <c r="N4" s="10" t="str">
        <f t="shared" ca="1" si="1"/>
        <v>NÃO</v>
      </c>
      <c r="O4" s="51"/>
      <c r="P4" s="8" t="s">
        <v>168</v>
      </c>
      <c r="Q4" s="16" t="s">
        <v>82</v>
      </c>
      <c r="R4" s="4" t="s">
        <v>204</v>
      </c>
      <c r="S4" s="4" t="s">
        <v>231</v>
      </c>
      <c r="T4" s="1" t="s">
        <v>231</v>
      </c>
      <c r="U4" s="20" t="s">
        <v>230</v>
      </c>
    </row>
    <row r="5" spans="1:21" ht="38.4" customHeight="1" x14ac:dyDescent="0.25">
      <c r="A5" s="46">
        <v>60</v>
      </c>
      <c r="B5" s="18" t="s">
        <v>66</v>
      </c>
      <c r="C5" s="65" t="s">
        <v>311</v>
      </c>
      <c r="D5" s="6" t="s">
        <v>653</v>
      </c>
      <c r="E5" s="99" t="s">
        <v>655</v>
      </c>
      <c r="F5" s="8" t="s">
        <v>78</v>
      </c>
      <c r="G5" s="8"/>
      <c r="H5" s="8"/>
      <c r="I5" s="8"/>
      <c r="J5" s="55">
        <v>45859</v>
      </c>
      <c r="K5" s="71">
        <v>46081</v>
      </c>
      <c r="L5" s="51">
        <v>12</v>
      </c>
      <c r="M5" s="8" t="str">
        <f t="shared" si="0"/>
        <v>PRE</v>
      </c>
      <c r="N5" s="10" t="str">
        <f t="shared" ca="1" si="1"/>
        <v>NÃO</v>
      </c>
      <c r="O5" s="51"/>
      <c r="P5" s="8" t="s">
        <v>168</v>
      </c>
      <c r="Q5" s="16" t="s">
        <v>82</v>
      </c>
      <c r="R5" s="4" t="s">
        <v>204</v>
      </c>
      <c r="S5" s="4" t="s">
        <v>231</v>
      </c>
      <c r="T5" s="1" t="s">
        <v>231</v>
      </c>
      <c r="U5" s="20" t="s">
        <v>230</v>
      </c>
    </row>
    <row r="6" spans="1:21" ht="38.4" customHeight="1" x14ac:dyDescent="0.25">
      <c r="A6" s="46">
        <v>81</v>
      </c>
      <c r="B6" s="18" t="s">
        <v>21</v>
      </c>
      <c r="C6" s="65" t="s">
        <v>312</v>
      </c>
      <c r="D6" s="6" t="s">
        <v>656</v>
      </c>
      <c r="E6" s="99" t="s">
        <v>657</v>
      </c>
      <c r="F6" s="8" t="s">
        <v>210</v>
      </c>
      <c r="G6" s="8"/>
      <c r="H6" s="8"/>
      <c r="I6" s="8"/>
      <c r="J6" s="55">
        <v>45820</v>
      </c>
      <c r="K6" s="71">
        <v>46173</v>
      </c>
      <c r="L6" s="51">
        <v>12</v>
      </c>
      <c r="M6" s="8" t="str">
        <f t="shared" si="0"/>
        <v>BAL</v>
      </c>
      <c r="N6" s="10" t="str">
        <f t="shared" ca="1" si="1"/>
        <v>NÃO</v>
      </c>
      <c r="O6" s="51"/>
      <c r="P6" s="8" t="s">
        <v>168</v>
      </c>
      <c r="Q6" s="16" t="s">
        <v>83</v>
      </c>
      <c r="R6" s="4"/>
      <c r="S6" s="4" t="s">
        <v>231</v>
      </c>
      <c r="T6" s="1" t="s">
        <v>231</v>
      </c>
      <c r="U6" s="20" t="s">
        <v>230</v>
      </c>
    </row>
    <row r="7" spans="1:21" ht="38.4" customHeight="1" x14ac:dyDescent="0.25">
      <c r="A7" s="46">
        <v>792</v>
      </c>
      <c r="B7" s="18" t="s">
        <v>171</v>
      </c>
      <c r="C7" s="64" t="s">
        <v>313</v>
      </c>
      <c r="D7" s="6" t="s">
        <v>658</v>
      </c>
      <c r="E7" s="99" t="s">
        <v>659</v>
      </c>
      <c r="F7" s="8" t="s">
        <v>209</v>
      </c>
      <c r="G7" s="8"/>
      <c r="H7" s="8"/>
      <c r="I7" s="8"/>
      <c r="J7" s="55">
        <v>45812</v>
      </c>
      <c r="K7" s="71">
        <v>46173</v>
      </c>
      <c r="L7" s="51">
        <v>12</v>
      </c>
      <c r="M7" s="8" t="str">
        <f t="shared" si="0"/>
        <v>BAL</v>
      </c>
      <c r="N7" s="10" t="str">
        <f t="shared" ca="1" si="1"/>
        <v>NÃO</v>
      </c>
      <c r="O7" s="51"/>
      <c r="P7" s="8" t="s">
        <v>168</v>
      </c>
      <c r="Q7" s="16" t="s">
        <v>82</v>
      </c>
      <c r="R7" s="4"/>
      <c r="S7" s="4" t="s">
        <v>231</v>
      </c>
      <c r="T7" s="1" t="s">
        <v>231</v>
      </c>
      <c r="U7" s="20" t="s">
        <v>230</v>
      </c>
    </row>
    <row r="8" spans="1:21" ht="38.4" customHeight="1" x14ac:dyDescent="0.25">
      <c r="A8" s="46">
        <v>542</v>
      </c>
      <c r="B8" s="18" t="s">
        <v>229</v>
      </c>
      <c r="C8" s="65" t="s">
        <v>314</v>
      </c>
      <c r="D8" s="6" t="s">
        <v>660</v>
      </c>
      <c r="E8" s="99" t="s">
        <v>661</v>
      </c>
      <c r="F8" s="8" t="s">
        <v>208</v>
      </c>
      <c r="G8" s="8"/>
      <c r="H8" s="8"/>
      <c r="I8" s="8"/>
      <c r="J8" s="55">
        <v>45812</v>
      </c>
      <c r="K8" s="71">
        <v>46173</v>
      </c>
      <c r="L8" s="51">
        <v>12</v>
      </c>
      <c r="M8" s="8" t="str">
        <f t="shared" si="0"/>
        <v>BAL</v>
      </c>
      <c r="N8" s="10" t="str">
        <f t="shared" ca="1" si="1"/>
        <v>NÃO</v>
      </c>
      <c r="O8" s="51"/>
      <c r="P8" s="8" t="s">
        <v>168</v>
      </c>
      <c r="Q8" s="16" t="s">
        <v>83</v>
      </c>
      <c r="R8" s="4"/>
      <c r="S8" s="4" t="s">
        <v>231</v>
      </c>
      <c r="T8" s="1" t="s">
        <v>231</v>
      </c>
      <c r="U8" s="20" t="s">
        <v>230</v>
      </c>
    </row>
    <row r="9" spans="1:21" ht="38.4" customHeight="1" x14ac:dyDescent="0.25">
      <c r="A9" s="46">
        <v>775</v>
      </c>
      <c r="B9" s="18" t="s">
        <v>172</v>
      </c>
      <c r="C9" s="65" t="s">
        <v>315</v>
      </c>
      <c r="D9" s="6" t="s">
        <v>658</v>
      </c>
      <c r="E9" s="99" t="s">
        <v>662</v>
      </c>
      <c r="F9" s="8" t="s">
        <v>209</v>
      </c>
      <c r="G9" s="8"/>
      <c r="H9" s="8"/>
      <c r="I9" s="8"/>
      <c r="J9" s="55">
        <v>45812</v>
      </c>
      <c r="K9" s="71">
        <v>46173</v>
      </c>
      <c r="L9" s="51">
        <v>12</v>
      </c>
      <c r="M9" s="8" t="str">
        <f t="shared" si="0"/>
        <v>BAL</v>
      </c>
      <c r="N9" s="10" t="str">
        <f t="shared" ca="1" si="1"/>
        <v>NÃO</v>
      </c>
      <c r="O9" s="51"/>
      <c r="P9" s="8" t="s">
        <v>168</v>
      </c>
      <c r="Q9" s="16" t="s">
        <v>83</v>
      </c>
      <c r="R9" s="4"/>
      <c r="S9" s="4" t="s">
        <v>231</v>
      </c>
      <c r="T9" s="1" t="s">
        <v>231</v>
      </c>
      <c r="U9" s="20" t="s">
        <v>230</v>
      </c>
    </row>
    <row r="10" spans="1:21" ht="38.4" customHeight="1" x14ac:dyDescent="0.25">
      <c r="A10" s="46">
        <v>1329</v>
      </c>
      <c r="B10" s="18" t="s">
        <v>173</v>
      </c>
      <c r="C10" s="65" t="s">
        <v>316</v>
      </c>
      <c r="D10" s="6" t="s">
        <v>663</v>
      </c>
      <c r="E10" s="99" t="s">
        <v>664</v>
      </c>
      <c r="F10" s="8" t="s">
        <v>208</v>
      </c>
      <c r="G10" s="8"/>
      <c r="H10" s="8"/>
      <c r="I10" s="8"/>
      <c r="J10" s="55">
        <v>45812</v>
      </c>
      <c r="K10" s="71">
        <v>46173</v>
      </c>
      <c r="L10" s="51">
        <v>12</v>
      </c>
      <c r="M10" s="8" t="str">
        <f t="shared" si="0"/>
        <v>BAL</v>
      </c>
      <c r="N10" s="10" t="str">
        <f t="shared" ca="1" si="1"/>
        <v>NÃO</v>
      </c>
      <c r="O10" s="51"/>
      <c r="P10" s="8" t="s">
        <v>168</v>
      </c>
      <c r="Q10" s="16" t="s">
        <v>82</v>
      </c>
      <c r="R10" s="4" t="s">
        <v>204</v>
      </c>
      <c r="S10" s="4" t="s">
        <v>231</v>
      </c>
      <c r="T10" s="1" t="s">
        <v>231</v>
      </c>
      <c r="U10" s="20" t="s">
        <v>230</v>
      </c>
    </row>
    <row r="11" spans="1:21" ht="38.4" customHeight="1" x14ac:dyDescent="0.25">
      <c r="A11" s="46">
        <v>79</v>
      </c>
      <c r="B11" s="18" t="s">
        <v>19</v>
      </c>
      <c r="C11" s="65" t="s">
        <v>317</v>
      </c>
      <c r="D11" s="6" t="s">
        <v>665</v>
      </c>
      <c r="E11" s="99" t="s">
        <v>666</v>
      </c>
      <c r="F11" s="8" t="s">
        <v>44</v>
      </c>
      <c r="G11" s="8"/>
      <c r="H11" s="8"/>
      <c r="I11" s="8"/>
      <c r="J11" s="55">
        <v>45812</v>
      </c>
      <c r="K11" s="71">
        <v>46173</v>
      </c>
      <c r="L11" s="51">
        <v>12</v>
      </c>
      <c r="M11" s="8" t="str">
        <f t="shared" si="0"/>
        <v>BAL</v>
      </c>
      <c r="N11" s="10" t="str">
        <f t="shared" ca="1" si="1"/>
        <v>NÃO</v>
      </c>
      <c r="O11" s="51"/>
      <c r="P11" s="8" t="s">
        <v>168</v>
      </c>
      <c r="Q11" s="16" t="s">
        <v>82</v>
      </c>
      <c r="R11" s="4"/>
      <c r="S11" s="4" t="s">
        <v>231</v>
      </c>
      <c r="T11" s="1" t="s">
        <v>231</v>
      </c>
      <c r="U11" s="20" t="s">
        <v>230</v>
      </c>
    </row>
    <row r="12" spans="1:21" ht="38.4" customHeight="1" x14ac:dyDescent="0.25">
      <c r="A12" s="46">
        <v>1050</v>
      </c>
      <c r="B12" s="18" t="s">
        <v>174</v>
      </c>
      <c r="C12" s="65" t="s">
        <v>318</v>
      </c>
      <c r="D12" s="6" t="s">
        <v>667</v>
      </c>
      <c r="E12" s="99" t="s">
        <v>668</v>
      </c>
      <c r="F12" s="8" t="s">
        <v>32</v>
      </c>
      <c r="G12" s="8"/>
      <c r="H12" s="8"/>
      <c r="I12" s="8"/>
      <c r="J12" s="55">
        <v>45791</v>
      </c>
      <c r="K12" s="71">
        <v>46142</v>
      </c>
      <c r="L12" s="51">
        <v>12</v>
      </c>
      <c r="M12" s="8" t="str">
        <f t="shared" si="0"/>
        <v>EST</v>
      </c>
      <c r="N12" s="10" t="str">
        <f t="shared" ca="1" si="1"/>
        <v>NÃO</v>
      </c>
      <c r="O12" s="51"/>
      <c r="P12" s="8" t="s">
        <v>168</v>
      </c>
      <c r="Q12" s="16" t="s">
        <v>82</v>
      </c>
      <c r="R12" s="4"/>
      <c r="S12" s="4" t="s">
        <v>231</v>
      </c>
      <c r="T12" s="1" t="s">
        <v>231</v>
      </c>
      <c r="U12" s="20" t="s">
        <v>230</v>
      </c>
    </row>
    <row r="13" spans="1:21" ht="38.4" customHeight="1" x14ac:dyDescent="0.25">
      <c r="A13" s="46">
        <v>179</v>
      </c>
      <c r="B13" s="18" t="s">
        <v>175</v>
      </c>
      <c r="C13" s="106" t="s">
        <v>669</v>
      </c>
      <c r="D13" s="6" t="s">
        <v>670</v>
      </c>
      <c r="E13" s="99" t="s">
        <v>671</v>
      </c>
      <c r="F13" s="8"/>
      <c r="G13" s="8"/>
      <c r="H13" s="8"/>
      <c r="I13" s="8"/>
      <c r="J13" s="55" t="s">
        <v>100</v>
      </c>
      <c r="K13" s="71" t="e">
        <f t="shared" ref="K13:K17" si="2">IF(J13="-",IF(L13="-","FORA DE USO","CALIBRAR"),IF(L13="-","FORA DE USO",EDATE(J13,L13)))</f>
        <v>#VALUE!</v>
      </c>
      <c r="L13" s="51" t="s">
        <v>100</v>
      </c>
      <c r="M13" s="8" t="str">
        <f t="shared" si="0"/>
        <v>PEN</v>
      </c>
      <c r="N13" s="10" t="e">
        <f t="shared" ca="1" si="1"/>
        <v>#VALUE!</v>
      </c>
      <c r="O13" s="51"/>
      <c r="P13" s="8" t="s">
        <v>168</v>
      </c>
      <c r="Q13" s="16" t="s">
        <v>83</v>
      </c>
      <c r="R13" s="4"/>
      <c r="S13" s="4" t="s">
        <v>230</v>
      </c>
      <c r="T13" s="1" t="s">
        <v>230</v>
      </c>
      <c r="U13" s="20" t="s">
        <v>231</v>
      </c>
    </row>
    <row r="14" spans="1:21" ht="38.4" customHeight="1" x14ac:dyDescent="0.25">
      <c r="A14" s="46">
        <v>185</v>
      </c>
      <c r="B14" s="18" t="s">
        <v>176</v>
      </c>
      <c r="C14" s="65" t="s">
        <v>319</v>
      </c>
      <c r="D14" s="6" t="s">
        <v>672</v>
      </c>
      <c r="E14" s="99" t="s">
        <v>673</v>
      </c>
      <c r="F14" s="8" t="s">
        <v>78</v>
      </c>
      <c r="G14" s="8"/>
      <c r="H14" s="8"/>
      <c r="I14" s="8"/>
      <c r="J14" s="55" t="s">
        <v>100</v>
      </c>
      <c r="K14" s="71" t="e">
        <f t="shared" si="2"/>
        <v>#VALUE!</v>
      </c>
      <c r="L14" s="51" t="s">
        <v>100</v>
      </c>
      <c r="M14" s="8" t="str">
        <f t="shared" si="0"/>
        <v>PEN</v>
      </c>
      <c r="N14" s="10" t="e">
        <f t="shared" ca="1" si="1"/>
        <v>#VALUE!</v>
      </c>
      <c r="O14" s="51"/>
      <c r="P14" s="8" t="s">
        <v>168</v>
      </c>
      <c r="Q14" s="16" t="s">
        <v>83</v>
      </c>
      <c r="R14" s="4"/>
      <c r="S14" s="4" t="s">
        <v>230</v>
      </c>
      <c r="T14" s="1" t="s">
        <v>231</v>
      </c>
      <c r="U14" s="20" t="s">
        <v>230</v>
      </c>
    </row>
    <row r="15" spans="1:21" ht="38.4" customHeight="1" x14ac:dyDescent="0.25">
      <c r="A15" s="46">
        <v>74</v>
      </c>
      <c r="B15" s="18" t="s">
        <v>16</v>
      </c>
      <c r="C15" s="65" t="s">
        <v>320</v>
      </c>
      <c r="D15" s="6" t="s">
        <v>674</v>
      </c>
      <c r="E15" s="99" t="s">
        <v>675</v>
      </c>
      <c r="F15" s="8" t="s">
        <v>214</v>
      </c>
      <c r="G15" s="8"/>
      <c r="H15" s="8"/>
      <c r="I15" s="8"/>
      <c r="J15" s="55">
        <v>45812</v>
      </c>
      <c r="K15" s="71">
        <v>46173</v>
      </c>
      <c r="L15" s="51">
        <v>12</v>
      </c>
      <c r="M15" s="8" t="str">
        <f t="shared" si="0"/>
        <v>BAL</v>
      </c>
      <c r="N15" s="10" t="str">
        <f t="shared" ca="1" si="1"/>
        <v>NÃO</v>
      </c>
      <c r="O15" s="51"/>
      <c r="P15" s="8" t="s">
        <v>166</v>
      </c>
      <c r="Q15" s="16" t="s">
        <v>82</v>
      </c>
      <c r="R15" s="4"/>
      <c r="S15" s="4" t="s">
        <v>231</v>
      </c>
      <c r="T15" s="1" t="s">
        <v>231</v>
      </c>
      <c r="U15" s="20" t="s">
        <v>230</v>
      </c>
    </row>
    <row r="16" spans="1:21" ht="69.599999999999994" customHeight="1" x14ac:dyDescent="0.25">
      <c r="A16" s="46">
        <v>606</v>
      </c>
      <c r="B16" s="18" t="s">
        <v>165</v>
      </c>
      <c r="C16" s="65" t="s">
        <v>321</v>
      </c>
      <c r="D16" s="6" t="s">
        <v>676</v>
      </c>
      <c r="E16" s="99" t="s">
        <v>677</v>
      </c>
      <c r="F16" s="8" t="s">
        <v>213</v>
      </c>
      <c r="G16" s="8"/>
      <c r="H16" s="8"/>
      <c r="I16" s="8"/>
      <c r="J16" s="55">
        <v>45040</v>
      </c>
      <c r="K16" s="71">
        <v>45412</v>
      </c>
      <c r="L16" s="51">
        <v>12</v>
      </c>
      <c r="M16" s="8" t="str">
        <f t="shared" si="0"/>
        <v>PEN</v>
      </c>
      <c r="N16" s="10" t="str">
        <f t="shared" ca="1" si="1"/>
        <v>SIM</v>
      </c>
      <c r="O16" s="51"/>
      <c r="P16" s="8" t="s">
        <v>166</v>
      </c>
      <c r="Q16" s="16" t="s">
        <v>83</v>
      </c>
      <c r="R16" s="4"/>
      <c r="S16" s="4" t="s">
        <v>231</v>
      </c>
      <c r="T16" s="1" t="s">
        <v>231</v>
      </c>
      <c r="U16" s="20" t="s">
        <v>230</v>
      </c>
    </row>
    <row r="17" spans="1:21" ht="38.4" customHeight="1" x14ac:dyDescent="0.25">
      <c r="A17" s="46">
        <v>194</v>
      </c>
      <c r="B17" s="18" t="s">
        <v>167</v>
      </c>
      <c r="C17" s="65" t="s">
        <v>322</v>
      </c>
      <c r="D17" s="6" t="s">
        <v>678</v>
      </c>
      <c r="E17" s="99" t="s">
        <v>679</v>
      </c>
      <c r="F17" s="8" t="s">
        <v>78</v>
      </c>
      <c r="G17" s="8"/>
      <c r="H17" s="8"/>
      <c r="I17" s="8"/>
      <c r="J17" s="55" t="s">
        <v>100</v>
      </c>
      <c r="K17" s="71" t="e">
        <f t="shared" si="2"/>
        <v>#VALUE!</v>
      </c>
      <c r="L17" s="51" t="s">
        <v>100</v>
      </c>
      <c r="M17" s="8" t="str">
        <f t="shared" si="0"/>
        <v>PEN</v>
      </c>
      <c r="N17" s="10" t="e">
        <f t="shared" ca="1" si="1"/>
        <v>#VALUE!</v>
      </c>
      <c r="O17" s="51"/>
      <c r="P17" s="8" t="s">
        <v>166</v>
      </c>
      <c r="Q17" s="16" t="s">
        <v>83</v>
      </c>
      <c r="R17" s="4"/>
      <c r="S17" s="4" t="s">
        <v>230</v>
      </c>
      <c r="T17" s="1" t="s">
        <v>231</v>
      </c>
      <c r="U17" s="20" t="s">
        <v>230</v>
      </c>
    </row>
    <row r="18" spans="1:21" ht="38.4" customHeight="1" x14ac:dyDescent="0.25">
      <c r="A18" s="46">
        <v>204</v>
      </c>
      <c r="B18" s="11" t="s">
        <v>41</v>
      </c>
      <c r="C18" s="62" t="s">
        <v>42</v>
      </c>
      <c r="D18" s="12" t="s">
        <v>43</v>
      </c>
      <c r="E18" s="100">
        <v>13065401</v>
      </c>
      <c r="F18" s="13" t="s">
        <v>44</v>
      </c>
      <c r="G18" s="12" t="s">
        <v>45</v>
      </c>
      <c r="H18" s="12" t="s">
        <v>46</v>
      </c>
      <c r="I18" s="13" t="s">
        <v>15</v>
      </c>
      <c r="J18" s="53">
        <v>45698</v>
      </c>
      <c r="K18" s="72">
        <v>46081</v>
      </c>
      <c r="L18" s="93">
        <v>12</v>
      </c>
      <c r="M18" s="8" t="str">
        <f t="shared" si="0"/>
        <v>PP-</v>
      </c>
      <c r="N18" s="10" t="str">
        <f t="shared" ca="1" si="1"/>
        <v>NÃO</v>
      </c>
      <c r="O18" s="51"/>
      <c r="P18" s="8" t="s">
        <v>112</v>
      </c>
      <c r="Q18" s="16" t="s">
        <v>82</v>
      </c>
      <c r="R18" s="4"/>
      <c r="S18" s="4" t="s">
        <v>231</v>
      </c>
      <c r="T18" s="1" t="s">
        <v>231</v>
      </c>
      <c r="U18" s="41" t="s">
        <v>230</v>
      </c>
    </row>
    <row r="19" spans="1:21" ht="38.4" customHeight="1" x14ac:dyDescent="0.25">
      <c r="A19" s="46">
        <v>205</v>
      </c>
      <c r="B19" s="11" t="s">
        <v>47</v>
      </c>
      <c r="C19" s="62" t="s">
        <v>48</v>
      </c>
      <c r="D19" s="12" t="s">
        <v>43</v>
      </c>
      <c r="E19" s="100">
        <v>13065401</v>
      </c>
      <c r="F19" s="13" t="s">
        <v>44</v>
      </c>
      <c r="G19" s="12" t="s">
        <v>45</v>
      </c>
      <c r="H19" s="12" t="s">
        <v>49</v>
      </c>
      <c r="I19" s="13" t="s">
        <v>15</v>
      </c>
      <c r="J19" s="53">
        <v>45698</v>
      </c>
      <c r="K19" s="72">
        <v>46081</v>
      </c>
      <c r="L19" s="93">
        <v>12</v>
      </c>
      <c r="M19" s="8" t="str">
        <f t="shared" si="0"/>
        <v>PP-</v>
      </c>
      <c r="N19" s="10" t="str">
        <f t="shared" ca="1" si="1"/>
        <v>NÃO</v>
      </c>
      <c r="O19" s="51"/>
      <c r="P19" s="8" t="s">
        <v>112</v>
      </c>
      <c r="Q19" s="16" t="s">
        <v>82</v>
      </c>
      <c r="R19" s="4"/>
      <c r="S19" s="4" t="s">
        <v>231</v>
      </c>
      <c r="T19" s="1" t="s">
        <v>231</v>
      </c>
      <c r="U19" s="41" t="s">
        <v>230</v>
      </c>
    </row>
    <row r="20" spans="1:21" ht="38.4" customHeight="1" x14ac:dyDescent="0.25">
      <c r="A20" s="46">
        <v>208</v>
      </c>
      <c r="B20" s="11" t="s">
        <v>50</v>
      </c>
      <c r="C20" s="62" t="s">
        <v>51</v>
      </c>
      <c r="D20" s="12" t="s">
        <v>43</v>
      </c>
      <c r="E20" s="100">
        <v>13065401</v>
      </c>
      <c r="F20" s="13" t="s">
        <v>44</v>
      </c>
      <c r="G20" s="12" t="s">
        <v>45</v>
      </c>
      <c r="H20" s="12" t="s">
        <v>52</v>
      </c>
      <c r="I20" s="13" t="s">
        <v>15</v>
      </c>
      <c r="J20" s="53">
        <v>45698</v>
      </c>
      <c r="K20" s="72">
        <v>46081</v>
      </c>
      <c r="L20" s="93">
        <v>12</v>
      </c>
      <c r="M20" s="8" t="str">
        <f t="shared" si="0"/>
        <v>PP-</v>
      </c>
      <c r="N20" s="10" t="str">
        <f t="shared" ca="1" si="1"/>
        <v>NÃO</v>
      </c>
      <c r="O20" s="51"/>
      <c r="P20" s="8" t="s">
        <v>112</v>
      </c>
      <c r="Q20" s="16" t="s">
        <v>82</v>
      </c>
      <c r="R20" s="4"/>
      <c r="S20" s="4" t="s">
        <v>231</v>
      </c>
      <c r="T20" s="1" t="s">
        <v>231</v>
      </c>
      <c r="U20" s="41" t="s">
        <v>230</v>
      </c>
    </row>
    <row r="21" spans="1:21" ht="38.4" customHeight="1" x14ac:dyDescent="0.25">
      <c r="A21" s="46">
        <v>209</v>
      </c>
      <c r="B21" s="11" t="s">
        <v>53</v>
      </c>
      <c r="C21" s="62" t="s">
        <v>54</v>
      </c>
      <c r="D21" s="12" t="s">
        <v>43</v>
      </c>
      <c r="E21" s="100">
        <v>13065401</v>
      </c>
      <c r="F21" s="13" t="s">
        <v>44</v>
      </c>
      <c r="G21" s="12" t="s">
        <v>45</v>
      </c>
      <c r="H21" s="12" t="s">
        <v>55</v>
      </c>
      <c r="I21" s="13" t="s">
        <v>15</v>
      </c>
      <c r="J21" s="53">
        <v>45698</v>
      </c>
      <c r="K21" s="72">
        <v>46081</v>
      </c>
      <c r="L21" s="93">
        <v>12</v>
      </c>
      <c r="M21" s="8" t="str">
        <f t="shared" si="0"/>
        <v>PP-</v>
      </c>
      <c r="N21" s="10" t="str">
        <f t="shared" ca="1" si="1"/>
        <v>NÃO</v>
      </c>
      <c r="O21" s="51"/>
      <c r="P21" s="8" t="s">
        <v>112</v>
      </c>
      <c r="Q21" s="16" t="s">
        <v>82</v>
      </c>
      <c r="R21" s="4"/>
      <c r="S21" s="4" t="s">
        <v>231</v>
      </c>
      <c r="T21" s="1" t="s">
        <v>231</v>
      </c>
      <c r="U21" s="41" t="s">
        <v>230</v>
      </c>
    </row>
    <row r="22" spans="1:21" ht="38.4" customHeight="1" x14ac:dyDescent="0.25">
      <c r="A22" s="46">
        <v>210</v>
      </c>
      <c r="B22" s="11" t="s">
        <v>56</v>
      </c>
      <c r="C22" s="62" t="s">
        <v>57</v>
      </c>
      <c r="D22" s="12" t="s">
        <v>43</v>
      </c>
      <c r="E22" s="100">
        <v>13065401</v>
      </c>
      <c r="F22" s="13" t="s">
        <v>44</v>
      </c>
      <c r="G22" s="12" t="s">
        <v>45</v>
      </c>
      <c r="H22" s="12" t="s">
        <v>58</v>
      </c>
      <c r="I22" s="13" t="s">
        <v>15</v>
      </c>
      <c r="J22" s="53">
        <v>45698</v>
      </c>
      <c r="K22" s="72">
        <v>46081</v>
      </c>
      <c r="L22" s="93">
        <v>12</v>
      </c>
      <c r="M22" s="8" t="str">
        <f t="shared" si="0"/>
        <v>PP-</v>
      </c>
      <c r="N22" s="10" t="str">
        <f t="shared" ca="1" si="1"/>
        <v>NÃO</v>
      </c>
      <c r="O22" s="51"/>
      <c r="P22" s="8" t="s">
        <v>112</v>
      </c>
      <c r="Q22" s="16" t="s">
        <v>82</v>
      </c>
      <c r="R22" s="4"/>
      <c r="S22" s="4" t="s">
        <v>231</v>
      </c>
      <c r="T22" s="1" t="s">
        <v>231</v>
      </c>
      <c r="U22" s="41" t="s">
        <v>230</v>
      </c>
    </row>
    <row r="23" spans="1:21" ht="38.4" customHeight="1" x14ac:dyDescent="0.25">
      <c r="A23" s="46">
        <v>211</v>
      </c>
      <c r="B23" s="11" t="s">
        <v>59</v>
      </c>
      <c r="C23" s="62" t="s">
        <v>60</v>
      </c>
      <c r="D23" s="12" t="s">
        <v>43</v>
      </c>
      <c r="E23" s="100">
        <v>13065401</v>
      </c>
      <c r="F23" s="13" t="s">
        <v>44</v>
      </c>
      <c r="G23" s="12" t="s">
        <v>45</v>
      </c>
      <c r="H23" s="12" t="s">
        <v>61</v>
      </c>
      <c r="I23" s="13" t="s">
        <v>15</v>
      </c>
      <c r="J23" s="53">
        <v>45698</v>
      </c>
      <c r="K23" s="72">
        <v>46081</v>
      </c>
      <c r="L23" s="93">
        <v>12</v>
      </c>
      <c r="M23" s="8" t="str">
        <f t="shared" si="0"/>
        <v>PP-</v>
      </c>
      <c r="N23" s="10" t="str">
        <f t="shared" ca="1" si="1"/>
        <v>NÃO</v>
      </c>
      <c r="O23" s="51"/>
      <c r="P23" s="8" t="s">
        <v>112</v>
      </c>
      <c r="Q23" s="16" t="s">
        <v>82</v>
      </c>
      <c r="R23" s="4"/>
      <c r="S23" s="4" t="s">
        <v>231</v>
      </c>
      <c r="T23" s="1" t="s">
        <v>231</v>
      </c>
      <c r="U23" s="41" t="s">
        <v>230</v>
      </c>
    </row>
    <row r="24" spans="1:21" ht="38.4" customHeight="1" x14ac:dyDescent="0.25">
      <c r="A24" s="46">
        <v>212</v>
      </c>
      <c r="B24" s="11" t="s">
        <v>62</v>
      </c>
      <c r="C24" s="62" t="s">
        <v>63</v>
      </c>
      <c r="D24" s="12" t="s">
        <v>43</v>
      </c>
      <c r="E24" s="100">
        <v>13065402</v>
      </c>
      <c r="F24" s="13" t="s">
        <v>44</v>
      </c>
      <c r="G24" s="12" t="s">
        <v>45</v>
      </c>
      <c r="H24" s="12" t="s">
        <v>64</v>
      </c>
      <c r="I24" s="13" t="s">
        <v>15</v>
      </c>
      <c r="J24" s="53">
        <v>45722</v>
      </c>
      <c r="K24" s="72">
        <v>47542</v>
      </c>
      <c r="L24" s="93">
        <v>60</v>
      </c>
      <c r="M24" s="8" t="str">
        <f t="shared" si="0"/>
        <v>PP-</v>
      </c>
      <c r="N24" s="10" t="str">
        <f t="shared" ca="1" si="1"/>
        <v>NÃO</v>
      </c>
      <c r="O24" s="51"/>
      <c r="P24" s="8" t="s">
        <v>112</v>
      </c>
      <c r="Q24" s="16" t="s">
        <v>82</v>
      </c>
      <c r="R24" s="4"/>
      <c r="S24" s="4" t="s">
        <v>231</v>
      </c>
      <c r="T24" s="1" t="s">
        <v>231</v>
      </c>
      <c r="U24" s="41" t="s">
        <v>230</v>
      </c>
    </row>
    <row r="25" spans="1:21" ht="38.4" customHeight="1" x14ac:dyDescent="0.25">
      <c r="A25" s="46">
        <v>61</v>
      </c>
      <c r="B25" s="15" t="s">
        <v>102</v>
      </c>
      <c r="C25" s="63" t="s">
        <v>69</v>
      </c>
      <c r="D25" s="5" t="s">
        <v>70</v>
      </c>
      <c r="E25" s="101">
        <v>23795</v>
      </c>
      <c r="F25" s="5" t="s">
        <v>26</v>
      </c>
      <c r="G25" s="5" t="s">
        <v>71</v>
      </c>
      <c r="H25" s="5" t="s">
        <v>67</v>
      </c>
      <c r="I25" s="5" t="s">
        <v>14</v>
      </c>
      <c r="J25" s="54">
        <v>45859</v>
      </c>
      <c r="K25" s="71">
        <v>46142</v>
      </c>
      <c r="L25" s="92">
        <v>12</v>
      </c>
      <c r="M25" s="8" t="str">
        <f t="shared" si="0"/>
        <v>AD-</v>
      </c>
      <c r="N25" s="10" t="str">
        <f t="shared" ca="1" si="1"/>
        <v>NÃO</v>
      </c>
      <c r="O25" s="51"/>
      <c r="P25" s="8" t="s">
        <v>112</v>
      </c>
      <c r="Q25" s="16" t="s">
        <v>82</v>
      </c>
      <c r="R25" s="4" t="s">
        <v>204</v>
      </c>
      <c r="S25" s="4" t="s">
        <v>231</v>
      </c>
      <c r="T25" s="1" t="s">
        <v>231</v>
      </c>
      <c r="U25" s="41" t="s">
        <v>230</v>
      </c>
    </row>
    <row r="26" spans="1:21" ht="38.4" customHeight="1" x14ac:dyDescent="0.25">
      <c r="A26" s="46">
        <v>62</v>
      </c>
      <c r="B26" s="15" t="s">
        <v>103</v>
      </c>
      <c r="C26" s="63" t="s">
        <v>69</v>
      </c>
      <c r="D26" s="5" t="s">
        <v>70</v>
      </c>
      <c r="E26" s="101" t="s">
        <v>72</v>
      </c>
      <c r="F26" s="5" t="s">
        <v>39</v>
      </c>
      <c r="G26" s="5" t="s">
        <v>71</v>
      </c>
      <c r="H26" s="5" t="s">
        <v>67</v>
      </c>
      <c r="I26" s="5" t="s">
        <v>14</v>
      </c>
      <c r="J26" s="54">
        <v>45859</v>
      </c>
      <c r="K26" s="71">
        <v>46142</v>
      </c>
      <c r="L26" s="92">
        <v>12</v>
      </c>
      <c r="M26" s="8" t="str">
        <f t="shared" si="0"/>
        <v>AD-</v>
      </c>
      <c r="N26" s="10" t="str">
        <f t="shared" ca="1" si="1"/>
        <v>NÃO</v>
      </c>
      <c r="O26" s="51"/>
      <c r="P26" s="8" t="s">
        <v>112</v>
      </c>
      <c r="Q26" s="16" t="s">
        <v>82</v>
      </c>
      <c r="R26" s="4" t="s">
        <v>204</v>
      </c>
      <c r="S26" s="4" t="s">
        <v>231</v>
      </c>
      <c r="T26" s="1" t="s">
        <v>231</v>
      </c>
      <c r="U26" s="41" t="s">
        <v>230</v>
      </c>
    </row>
    <row r="27" spans="1:21" ht="38.4" customHeight="1" x14ac:dyDescent="0.25">
      <c r="A27" s="46">
        <v>63</v>
      </c>
      <c r="B27" s="15" t="s">
        <v>104</v>
      </c>
      <c r="C27" s="63" t="s">
        <v>69</v>
      </c>
      <c r="D27" s="5" t="s">
        <v>70</v>
      </c>
      <c r="E27" s="101" t="s">
        <v>73</v>
      </c>
      <c r="F27" s="5" t="s">
        <v>39</v>
      </c>
      <c r="G27" s="5" t="s">
        <v>71</v>
      </c>
      <c r="H27" s="5" t="s">
        <v>67</v>
      </c>
      <c r="I27" s="5" t="s">
        <v>14</v>
      </c>
      <c r="J27" s="54">
        <v>45859</v>
      </c>
      <c r="K27" s="71">
        <v>46142</v>
      </c>
      <c r="L27" s="92">
        <v>12</v>
      </c>
      <c r="M27" s="8" t="str">
        <f t="shared" si="0"/>
        <v>AD-</v>
      </c>
      <c r="N27" s="10" t="str">
        <f t="shared" ca="1" si="1"/>
        <v>NÃO</v>
      </c>
      <c r="O27" s="51"/>
      <c r="P27" s="8" t="s">
        <v>112</v>
      </c>
      <c r="Q27" s="16" t="s">
        <v>82</v>
      </c>
      <c r="R27" s="4" t="s">
        <v>204</v>
      </c>
      <c r="S27" s="4" t="s">
        <v>231</v>
      </c>
      <c r="T27" s="1" t="s">
        <v>231</v>
      </c>
      <c r="U27" s="41" t="s">
        <v>230</v>
      </c>
    </row>
    <row r="28" spans="1:21" ht="38.4" customHeight="1" x14ac:dyDescent="0.25">
      <c r="A28" s="46">
        <v>64</v>
      </c>
      <c r="B28" s="15" t="s">
        <v>105</v>
      </c>
      <c r="C28" s="63" t="s">
        <v>69</v>
      </c>
      <c r="D28" s="5" t="s">
        <v>70</v>
      </c>
      <c r="E28" s="101" t="s">
        <v>74</v>
      </c>
      <c r="F28" s="5" t="s">
        <v>39</v>
      </c>
      <c r="G28" s="5" t="s">
        <v>71</v>
      </c>
      <c r="H28" s="5" t="s">
        <v>67</v>
      </c>
      <c r="I28" s="5" t="s">
        <v>14</v>
      </c>
      <c r="J28" s="54">
        <v>45859</v>
      </c>
      <c r="K28" s="71">
        <v>46142</v>
      </c>
      <c r="L28" s="92">
        <v>12</v>
      </c>
      <c r="M28" s="8" t="str">
        <f t="shared" si="0"/>
        <v>AD-</v>
      </c>
      <c r="N28" s="10" t="str">
        <f t="shared" ca="1" si="1"/>
        <v>NÃO</v>
      </c>
      <c r="O28" s="51"/>
      <c r="P28" s="8" t="s">
        <v>112</v>
      </c>
      <c r="Q28" s="16" t="s">
        <v>82</v>
      </c>
      <c r="R28" s="4" t="s">
        <v>204</v>
      </c>
      <c r="S28" s="4" t="s">
        <v>231</v>
      </c>
      <c r="T28" s="1" t="s">
        <v>231</v>
      </c>
      <c r="U28" s="41" t="s">
        <v>230</v>
      </c>
    </row>
    <row r="29" spans="1:21" ht="38.4" customHeight="1" x14ac:dyDescent="0.25">
      <c r="A29" s="46">
        <v>1482</v>
      </c>
      <c r="B29" s="11" t="s">
        <v>84</v>
      </c>
      <c r="C29" s="65" t="s">
        <v>323</v>
      </c>
      <c r="D29" s="12" t="s">
        <v>680</v>
      </c>
      <c r="E29" s="100" t="s">
        <v>665</v>
      </c>
      <c r="F29" s="13"/>
      <c r="G29" s="12"/>
      <c r="H29" s="12"/>
      <c r="I29" s="13"/>
      <c r="J29" s="53">
        <v>45653</v>
      </c>
      <c r="K29" s="71">
        <v>46022</v>
      </c>
      <c r="L29" s="93">
        <v>12</v>
      </c>
      <c r="M29" s="8" t="str">
        <f t="shared" si="0"/>
        <v>PP-</v>
      </c>
      <c r="N29" s="10" t="str">
        <f t="shared" ca="1" si="1"/>
        <v>NÃO</v>
      </c>
      <c r="O29" s="51"/>
      <c r="P29" s="8" t="s">
        <v>112</v>
      </c>
      <c r="Q29" s="16" t="s">
        <v>82</v>
      </c>
      <c r="R29" s="4"/>
      <c r="S29" s="4" t="s">
        <v>231</v>
      </c>
      <c r="T29" s="1" t="s">
        <v>231</v>
      </c>
      <c r="U29" s="41" t="s">
        <v>230</v>
      </c>
    </row>
    <row r="30" spans="1:21" ht="38.4" customHeight="1" x14ac:dyDescent="0.25">
      <c r="A30" s="46">
        <v>54</v>
      </c>
      <c r="B30" s="15" t="s">
        <v>80</v>
      </c>
      <c r="C30" s="65" t="s">
        <v>324</v>
      </c>
      <c r="D30" s="5" t="s">
        <v>665</v>
      </c>
      <c r="E30" s="101" t="s">
        <v>681</v>
      </c>
      <c r="F30" s="5" t="s">
        <v>68</v>
      </c>
      <c r="G30" s="5"/>
      <c r="H30" s="5"/>
      <c r="I30" s="5"/>
      <c r="J30" s="53">
        <v>45527</v>
      </c>
      <c r="K30" s="71">
        <v>45869</v>
      </c>
      <c r="L30" s="92">
        <v>12</v>
      </c>
      <c r="M30" s="8" t="str">
        <f t="shared" si="0"/>
        <v>TRI</v>
      </c>
      <c r="N30" s="10" t="str">
        <f t="shared" ca="1" si="1"/>
        <v>SIM</v>
      </c>
      <c r="O30" s="51"/>
      <c r="P30" s="8" t="s">
        <v>112</v>
      </c>
      <c r="Q30" s="16" t="s">
        <v>82</v>
      </c>
      <c r="R30" s="4" t="s">
        <v>204</v>
      </c>
      <c r="S30" s="4" t="s">
        <v>231</v>
      </c>
      <c r="T30" s="1" t="s">
        <v>231</v>
      </c>
      <c r="U30" s="41" t="s">
        <v>230</v>
      </c>
    </row>
    <row r="31" spans="1:21" ht="38.4" customHeight="1" x14ac:dyDescent="0.25">
      <c r="A31" s="46">
        <v>56</v>
      </c>
      <c r="B31" s="15" t="s">
        <v>81</v>
      </c>
      <c r="C31" s="65" t="s">
        <v>325</v>
      </c>
      <c r="D31" s="5" t="s">
        <v>665</v>
      </c>
      <c r="E31" s="101" t="s">
        <v>682</v>
      </c>
      <c r="F31" s="5" t="s">
        <v>68</v>
      </c>
      <c r="G31" s="5"/>
      <c r="H31" s="5"/>
      <c r="I31" s="5"/>
      <c r="J31" s="53">
        <v>45527</v>
      </c>
      <c r="K31" s="71">
        <v>45869</v>
      </c>
      <c r="L31" s="92">
        <v>12</v>
      </c>
      <c r="M31" s="8" t="str">
        <f t="shared" si="0"/>
        <v>TRI</v>
      </c>
      <c r="N31" s="10" t="str">
        <f t="shared" ca="1" si="1"/>
        <v>SIM</v>
      </c>
      <c r="O31" s="51"/>
      <c r="P31" s="8" t="s">
        <v>112</v>
      </c>
      <c r="Q31" s="16" t="s">
        <v>82</v>
      </c>
      <c r="R31" s="4" t="s">
        <v>204</v>
      </c>
      <c r="S31" s="4" t="s">
        <v>231</v>
      </c>
      <c r="T31" s="1" t="s">
        <v>231</v>
      </c>
      <c r="U31" s="41" t="s">
        <v>230</v>
      </c>
    </row>
    <row r="32" spans="1:21" ht="38.4" customHeight="1" x14ac:dyDescent="0.25">
      <c r="A32" s="46">
        <v>55</v>
      </c>
      <c r="B32" s="15" t="s">
        <v>86</v>
      </c>
      <c r="C32" s="65" t="s">
        <v>326</v>
      </c>
      <c r="D32" s="5" t="s">
        <v>665</v>
      </c>
      <c r="E32" s="101" t="s">
        <v>683</v>
      </c>
      <c r="F32" s="5" t="s">
        <v>68</v>
      </c>
      <c r="G32" s="5"/>
      <c r="H32" s="5"/>
      <c r="I32" s="5"/>
      <c r="J32" s="53" t="s">
        <v>100</v>
      </c>
      <c r="K32" s="71" t="e">
        <f t="shared" ref="K32:K60" si="3">IF(J32="-",IF(L32="-","FORA DE USO","CALIBRAR"),IF(L32="-","FORA DE USO",EDATE(J32,L32)))</f>
        <v>#VALUE!</v>
      </c>
      <c r="L32" s="92" t="s">
        <v>100</v>
      </c>
      <c r="M32" s="8" t="str">
        <f t="shared" si="0"/>
        <v>TRI</v>
      </c>
      <c r="N32" s="10" t="e">
        <f t="shared" ca="1" si="1"/>
        <v>#VALUE!</v>
      </c>
      <c r="O32" s="51"/>
      <c r="P32" s="8" t="s">
        <v>112</v>
      </c>
      <c r="Q32" s="16" t="s">
        <v>82</v>
      </c>
      <c r="R32" s="4" t="s">
        <v>204</v>
      </c>
      <c r="S32" s="4" t="s">
        <v>230</v>
      </c>
      <c r="T32" s="1" t="s">
        <v>231</v>
      </c>
      <c r="U32" s="41" t="s">
        <v>230</v>
      </c>
    </row>
    <row r="33" spans="1:21" ht="38.4" customHeight="1" x14ac:dyDescent="0.25">
      <c r="A33" s="46">
        <v>977</v>
      </c>
      <c r="B33" s="15" t="s">
        <v>233</v>
      </c>
      <c r="C33" s="107" t="s">
        <v>665</v>
      </c>
      <c r="D33" s="5" t="s">
        <v>684</v>
      </c>
      <c r="E33" s="101" t="s">
        <v>685</v>
      </c>
      <c r="F33" s="5"/>
      <c r="G33" s="5"/>
      <c r="H33" s="5"/>
      <c r="I33" s="5"/>
      <c r="J33" s="53">
        <v>45859</v>
      </c>
      <c r="K33" s="71">
        <v>46142</v>
      </c>
      <c r="L33" s="92">
        <v>12</v>
      </c>
      <c r="M33" s="8" t="str">
        <f t="shared" si="0"/>
        <v>TRI</v>
      </c>
      <c r="N33" s="10" t="str">
        <f t="shared" ca="1" si="1"/>
        <v>NÃO</v>
      </c>
      <c r="O33" s="51"/>
      <c r="P33" s="8" t="s">
        <v>112</v>
      </c>
      <c r="Q33" s="16" t="s">
        <v>38</v>
      </c>
      <c r="R33" s="4" t="s">
        <v>204</v>
      </c>
      <c r="S33" s="4" t="s">
        <v>231</v>
      </c>
      <c r="T33" s="1" t="s">
        <v>231</v>
      </c>
      <c r="U33" s="41" t="s">
        <v>230</v>
      </c>
    </row>
    <row r="34" spans="1:21" ht="38.4" customHeight="1" x14ac:dyDescent="0.25">
      <c r="A34" s="46">
        <v>977</v>
      </c>
      <c r="B34" s="15" t="s">
        <v>123</v>
      </c>
      <c r="C34" s="107" t="s">
        <v>665</v>
      </c>
      <c r="D34" s="5" t="s">
        <v>665</v>
      </c>
      <c r="E34" s="101" t="s">
        <v>665</v>
      </c>
      <c r="F34" s="5" t="s">
        <v>212</v>
      </c>
      <c r="G34" s="5"/>
      <c r="H34" s="5"/>
      <c r="I34" s="5"/>
      <c r="J34" s="53">
        <v>45771</v>
      </c>
      <c r="K34" s="71">
        <f t="shared" si="3"/>
        <v>46136</v>
      </c>
      <c r="L34" s="92">
        <v>12</v>
      </c>
      <c r="M34" s="8" t="str">
        <f t="shared" si="0"/>
        <v>TRI</v>
      </c>
      <c r="N34" s="10" t="str">
        <f t="shared" ca="1" si="1"/>
        <v>NÃO</v>
      </c>
      <c r="O34" s="51"/>
      <c r="P34" s="8" t="s">
        <v>112</v>
      </c>
      <c r="Q34" s="16" t="s">
        <v>38</v>
      </c>
      <c r="R34" s="4"/>
      <c r="S34" s="4" t="s">
        <v>231</v>
      </c>
      <c r="T34" s="1" t="s">
        <v>230</v>
      </c>
      <c r="U34" s="20" t="s">
        <v>230</v>
      </c>
    </row>
    <row r="35" spans="1:21" ht="38.4" customHeight="1" x14ac:dyDescent="0.25">
      <c r="A35" s="46">
        <v>977</v>
      </c>
      <c r="B35" s="15" t="s">
        <v>124</v>
      </c>
      <c r="C35" s="107" t="s">
        <v>665</v>
      </c>
      <c r="D35" s="5" t="s">
        <v>665</v>
      </c>
      <c r="E35" s="101" t="s">
        <v>665</v>
      </c>
      <c r="F35" s="5" t="s">
        <v>212</v>
      </c>
      <c r="G35" s="5"/>
      <c r="H35" s="5"/>
      <c r="I35" s="5"/>
      <c r="J35" s="53">
        <v>45771</v>
      </c>
      <c r="K35" s="71">
        <f t="shared" si="3"/>
        <v>46136</v>
      </c>
      <c r="L35" s="92">
        <v>12</v>
      </c>
      <c r="M35" s="8" t="str">
        <f t="shared" si="0"/>
        <v>TRI</v>
      </c>
      <c r="N35" s="10" t="str">
        <f t="shared" ca="1" si="1"/>
        <v>NÃO</v>
      </c>
      <c r="O35" s="51"/>
      <c r="P35" s="8" t="s">
        <v>112</v>
      </c>
      <c r="Q35" s="16" t="s">
        <v>38</v>
      </c>
      <c r="R35" s="4"/>
      <c r="S35" s="4" t="s">
        <v>231</v>
      </c>
      <c r="T35" s="1" t="s">
        <v>230</v>
      </c>
      <c r="U35" s="20" t="s">
        <v>230</v>
      </c>
    </row>
    <row r="36" spans="1:21" ht="38.4" customHeight="1" x14ac:dyDescent="0.25">
      <c r="A36" s="46">
        <v>977</v>
      </c>
      <c r="B36" s="15" t="s">
        <v>125</v>
      </c>
      <c r="C36" s="107" t="s">
        <v>665</v>
      </c>
      <c r="D36" s="5" t="s">
        <v>665</v>
      </c>
      <c r="E36" s="101" t="s">
        <v>665</v>
      </c>
      <c r="F36" s="5" t="s">
        <v>212</v>
      </c>
      <c r="G36" s="5"/>
      <c r="H36" s="5"/>
      <c r="I36" s="5"/>
      <c r="J36" s="53">
        <v>45771</v>
      </c>
      <c r="K36" s="71">
        <f t="shared" si="3"/>
        <v>46136</v>
      </c>
      <c r="L36" s="92">
        <v>12</v>
      </c>
      <c r="M36" s="8" t="str">
        <f t="shared" si="0"/>
        <v>TRI</v>
      </c>
      <c r="N36" s="10" t="str">
        <f t="shared" ca="1" si="1"/>
        <v>NÃO</v>
      </c>
      <c r="O36" s="51"/>
      <c r="P36" s="8" t="s">
        <v>112</v>
      </c>
      <c r="Q36" s="16" t="s">
        <v>38</v>
      </c>
      <c r="R36" s="4"/>
      <c r="S36" s="4" t="s">
        <v>231</v>
      </c>
      <c r="T36" s="1" t="s">
        <v>230</v>
      </c>
      <c r="U36" s="20" t="s">
        <v>230</v>
      </c>
    </row>
    <row r="37" spans="1:21" ht="38.4" customHeight="1" x14ac:dyDescent="0.25">
      <c r="A37" s="46">
        <v>977</v>
      </c>
      <c r="B37" s="15" t="s">
        <v>126</v>
      </c>
      <c r="C37" s="107" t="s">
        <v>665</v>
      </c>
      <c r="D37" s="5" t="s">
        <v>665</v>
      </c>
      <c r="E37" s="101" t="s">
        <v>665</v>
      </c>
      <c r="F37" s="5" t="s">
        <v>212</v>
      </c>
      <c r="G37" s="5"/>
      <c r="H37" s="5"/>
      <c r="I37" s="5"/>
      <c r="J37" s="53">
        <v>45771</v>
      </c>
      <c r="K37" s="71">
        <f t="shared" si="3"/>
        <v>46136</v>
      </c>
      <c r="L37" s="92">
        <v>12</v>
      </c>
      <c r="M37" s="8" t="str">
        <f t="shared" si="0"/>
        <v>TRI</v>
      </c>
      <c r="N37" s="10" t="str">
        <f t="shared" ca="1" si="1"/>
        <v>NÃO</v>
      </c>
      <c r="O37" s="51"/>
      <c r="P37" s="8" t="s">
        <v>112</v>
      </c>
      <c r="Q37" s="16" t="s">
        <v>38</v>
      </c>
      <c r="R37" s="4"/>
      <c r="S37" s="4" t="s">
        <v>231</v>
      </c>
      <c r="T37" s="1" t="s">
        <v>230</v>
      </c>
      <c r="U37" s="20" t="s">
        <v>230</v>
      </c>
    </row>
    <row r="38" spans="1:21" ht="38.4" customHeight="1" x14ac:dyDescent="0.25">
      <c r="A38" s="46">
        <v>977</v>
      </c>
      <c r="B38" s="15" t="s">
        <v>127</v>
      </c>
      <c r="C38" s="107" t="s">
        <v>665</v>
      </c>
      <c r="D38" s="5" t="s">
        <v>665</v>
      </c>
      <c r="E38" s="101" t="s">
        <v>665</v>
      </c>
      <c r="F38" s="5" t="s">
        <v>212</v>
      </c>
      <c r="G38" s="5"/>
      <c r="H38" s="5"/>
      <c r="I38" s="5"/>
      <c r="J38" s="53">
        <v>45771</v>
      </c>
      <c r="K38" s="71">
        <f t="shared" si="3"/>
        <v>46136</v>
      </c>
      <c r="L38" s="92">
        <v>12</v>
      </c>
      <c r="M38" s="8" t="str">
        <f t="shared" si="0"/>
        <v>TRI</v>
      </c>
      <c r="N38" s="10" t="str">
        <f t="shared" ca="1" si="1"/>
        <v>NÃO</v>
      </c>
      <c r="O38" s="51"/>
      <c r="P38" s="8" t="s">
        <v>112</v>
      </c>
      <c r="Q38" s="16" t="s">
        <v>38</v>
      </c>
      <c r="R38" s="4"/>
      <c r="S38" s="4" t="s">
        <v>231</v>
      </c>
      <c r="T38" s="1" t="s">
        <v>230</v>
      </c>
      <c r="U38" s="20" t="s">
        <v>230</v>
      </c>
    </row>
    <row r="39" spans="1:21" ht="38.4" customHeight="1" x14ac:dyDescent="0.25">
      <c r="A39" s="46">
        <v>70</v>
      </c>
      <c r="B39" s="15" t="s">
        <v>85</v>
      </c>
      <c r="C39" s="65" t="s">
        <v>327</v>
      </c>
      <c r="D39" s="5" t="s">
        <v>686</v>
      </c>
      <c r="E39" s="101" t="s">
        <v>687</v>
      </c>
      <c r="F39" s="5" t="s">
        <v>226</v>
      </c>
      <c r="G39" s="5"/>
      <c r="H39" s="5"/>
      <c r="I39" s="5"/>
      <c r="J39" s="53">
        <v>45859</v>
      </c>
      <c r="K39" s="71">
        <v>46142</v>
      </c>
      <c r="L39" s="92">
        <v>12</v>
      </c>
      <c r="M39" s="8" t="str">
        <f t="shared" si="0"/>
        <v>CD-</v>
      </c>
      <c r="N39" s="10" t="str">
        <f t="shared" ca="1" si="1"/>
        <v>NÃO</v>
      </c>
      <c r="O39" s="51"/>
      <c r="P39" s="8" t="s">
        <v>112</v>
      </c>
      <c r="Q39" s="16" t="s">
        <v>82</v>
      </c>
      <c r="R39" s="4" t="s">
        <v>204</v>
      </c>
      <c r="S39" s="4" t="s">
        <v>231</v>
      </c>
      <c r="T39" s="1" t="s">
        <v>231</v>
      </c>
      <c r="U39" s="41" t="s">
        <v>230</v>
      </c>
    </row>
    <row r="40" spans="1:21" ht="38.4" customHeight="1" x14ac:dyDescent="0.25">
      <c r="A40" s="46">
        <v>70</v>
      </c>
      <c r="B40" s="15" t="s">
        <v>128</v>
      </c>
      <c r="C40" s="65" t="s">
        <v>327</v>
      </c>
      <c r="D40" s="5" t="s">
        <v>665</v>
      </c>
      <c r="E40" s="101" t="s">
        <v>665</v>
      </c>
      <c r="F40" s="5" t="s">
        <v>226</v>
      </c>
      <c r="G40" s="5"/>
      <c r="H40" s="5"/>
      <c r="I40" s="5"/>
      <c r="J40" s="53">
        <v>45771</v>
      </c>
      <c r="K40" s="71">
        <f t="shared" si="3"/>
        <v>46136</v>
      </c>
      <c r="L40" s="92">
        <v>12</v>
      </c>
      <c r="M40" s="8" t="str">
        <f t="shared" si="0"/>
        <v>CD-</v>
      </c>
      <c r="N40" s="10" t="str">
        <f t="shared" ca="1" si="1"/>
        <v>NÃO</v>
      </c>
      <c r="O40" s="51"/>
      <c r="P40" s="8" t="s">
        <v>112</v>
      </c>
      <c r="Q40" s="16" t="s">
        <v>38</v>
      </c>
      <c r="R40" s="4"/>
      <c r="S40" s="4" t="s">
        <v>231</v>
      </c>
      <c r="T40" s="1" t="s">
        <v>230</v>
      </c>
      <c r="U40" s="20" t="s">
        <v>230</v>
      </c>
    </row>
    <row r="41" spans="1:21" ht="38.4" customHeight="1" x14ac:dyDescent="0.25">
      <c r="A41" s="46">
        <v>70</v>
      </c>
      <c r="B41" s="15" t="s">
        <v>129</v>
      </c>
      <c r="C41" s="65" t="s">
        <v>327</v>
      </c>
      <c r="D41" s="5" t="s">
        <v>665</v>
      </c>
      <c r="E41" s="101" t="s">
        <v>665</v>
      </c>
      <c r="F41" s="5" t="s">
        <v>226</v>
      </c>
      <c r="G41" s="5"/>
      <c r="H41" s="5"/>
      <c r="I41" s="5"/>
      <c r="J41" s="53">
        <v>45771</v>
      </c>
      <c r="K41" s="71">
        <f t="shared" si="3"/>
        <v>46136</v>
      </c>
      <c r="L41" s="92">
        <v>12</v>
      </c>
      <c r="M41" s="8" t="str">
        <f t="shared" si="0"/>
        <v>CD-</v>
      </c>
      <c r="N41" s="10" t="str">
        <f t="shared" ca="1" si="1"/>
        <v>NÃO</v>
      </c>
      <c r="O41" s="51"/>
      <c r="P41" s="8" t="s">
        <v>112</v>
      </c>
      <c r="Q41" s="16" t="s">
        <v>38</v>
      </c>
      <c r="R41" s="4"/>
      <c r="S41" s="4" t="s">
        <v>231</v>
      </c>
      <c r="T41" s="1" t="s">
        <v>230</v>
      </c>
      <c r="U41" s="20" t="s">
        <v>230</v>
      </c>
    </row>
    <row r="42" spans="1:21" ht="38.4" customHeight="1" x14ac:dyDescent="0.25">
      <c r="A42" s="46">
        <v>1207</v>
      </c>
      <c r="B42" s="15" t="s">
        <v>87</v>
      </c>
      <c r="C42" s="65" t="s">
        <v>328</v>
      </c>
      <c r="D42" s="5" t="s">
        <v>688</v>
      </c>
      <c r="E42" s="101" t="s">
        <v>689</v>
      </c>
      <c r="F42" s="5" t="s">
        <v>212</v>
      </c>
      <c r="G42" s="5"/>
      <c r="H42" s="5"/>
      <c r="I42" s="5"/>
      <c r="J42" s="53">
        <v>45859</v>
      </c>
      <c r="K42" s="71">
        <v>46142</v>
      </c>
      <c r="L42" s="92">
        <v>12</v>
      </c>
      <c r="M42" s="8" t="str">
        <f t="shared" si="0"/>
        <v>CIS</v>
      </c>
      <c r="N42" s="10" t="str">
        <f t="shared" ca="1" si="1"/>
        <v>NÃO</v>
      </c>
      <c r="O42" s="51"/>
      <c r="P42" s="8" t="s">
        <v>112</v>
      </c>
      <c r="Q42" s="16" t="s">
        <v>82</v>
      </c>
      <c r="R42" s="4" t="s">
        <v>204</v>
      </c>
      <c r="S42" s="4" t="s">
        <v>231</v>
      </c>
      <c r="T42" s="1" t="s">
        <v>231</v>
      </c>
      <c r="U42" s="41" t="s">
        <v>230</v>
      </c>
    </row>
    <row r="43" spans="1:21" ht="38.4" customHeight="1" x14ac:dyDescent="0.25">
      <c r="A43" s="46">
        <v>289</v>
      </c>
      <c r="B43" s="15" t="s">
        <v>88</v>
      </c>
      <c r="C43" s="65" t="s">
        <v>329</v>
      </c>
      <c r="D43" s="5" t="s">
        <v>690</v>
      </c>
      <c r="E43" s="101" t="s">
        <v>691</v>
      </c>
      <c r="F43" s="5" t="s">
        <v>226</v>
      </c>
      <c r="G43" s="5"/>
      <c r="H43" s="5"/>
      <c r="I43" s="5"/>
      <c r="J43" s="53" t="s">
        <v>100</v>
      </c>
      <c r="K43" s="71" t="e">
        <f t="shared" si="3"/>
        <v>#VALUE!</v>
      </c>
      <c r="L43" s="92" t="s">
        <v>100</v>
      </c>
      <c r="M43" s="8" t="str">
        <f t="shared" si="0"/>
        <v>PCI</v>
      </c>
      <c r="N43" s="10" t="e">
        <f t="shared" ca="1" si="1"/>
        <v>#VALUE!</v>
      </c>
      <c r="O43" s="51"/>
      <c r="P43" s="8" t="s">
        <v>112</v>
      </c>
      <c r="Q43" s="16" t="s">
        <v>82</v>
      </c>
      <c r="R43" s="4"/>
      <c r="S43" s="4" t="s">
        <v>230</v>
      </c>
      <c r="T43" s="1" t="s">
        <v>231</v>
      </c>
      <c r="U43" s="41" t="s">
        <v>230</v>
      </c>
    </row>
    <row r="44" spans="1:21" ht="38.4" customHeight="1" x14ac:dyDescent="0.25">
      <c r="A44" s="46">
        <v>293</v>
      </c>
      <c r="B44" s="15" t="s">
        <v>89</v>
      </c>
      <c r="C44" s="65" t="s">
        <v>330</v>
      </c>
      <c r="D44" s="5" t="s">
        <v>695</v>
      </c>
      <c r="E44" s="101" t="s">
        <v>665</v>
      </c>
      <c r="F44" s="5" t="s">
        <v>226</v>
      </c>
      <c r="G44" s="5"/>
      <c r="H44" s="5"/>
      <c r="I44" s="5"/>
      <c r="J44" s="53" t="s">
        <v>100</v>
      </c>
      <c r="K44" s="71" t="e">
        <f t="shared" si="3"/>
        <v>#VALUE!</v>
      </c>
      <c r="L44" s="92" t="s">
        <v>100</v>
      </c>
      <c r="M44" s="8" t="str">
        <f t="shared" si="0"/>
        <v>PCI</v>
      </c>
      <c r="N44" s="10" t="e">
        <f t="shared" ca="1" si="1"/>
        <v>#VALUE!</v>
      </c>
      <c r="O44" s="51"/>
      <c r="P44" s="8" t="s">
        <v>112</v>
      </c>
      <c r="Q44" s="16" t="s">
        <v>83</v>
      </c>
      <c r="R44" s="4"/>
      <c r="S44" s="4" t="s">
        <v>230</v>
      </c>
      <c r="T44" s="1" t="s">
        <v>231</v>
      </c>
      <c r="U44" s="41" t="s">
        <v>230</v>
      </c>
    </row>
    <row r="45" spans="1:21" ht="38.4" customHeight="1" x14ac:dyDescent="0.25">
      <c r="A45" s="46">
        <v>284</v>
      </c>
      <c r="B45" s="15" t="s">
        <v>90</v>
      </c>
      <c r="C45" s="65" t="s">
        <v>331</v>
      </c>
      <c r="D45" s="5" t="s">
        <v>696</v>
      </c>
      <c r="E45" s="101" t="s">
        <v>697</v>
      </c>
      <c r="F45" s="5" t="s">
        <v>226</v>
      </c>
      <c r="G45" s="5"/>
      <c r="H45" s="5"/>
      <c r="I45" s="5"/>
      <c r="J45" s="53" t="s">
        <v>100</v>
      </c>
      <c r="K45" s="71" t="e">
        <f t="shared" si="3"/>
        <v>#VALUE!</v>
      </c>
      <c r="L45" s="92" t="s">
        <v>100</v>
      </c>
      <c r="M45" s="8" t="str">
        <f t="shared" si="0"/>
        <v>PCI</v>
      </c>
      <c r="N45" s="10" t="e">
        <f t="shared" ca="1" si="1"/>
        <v>#VALUE!</v>
      </c>
      <c r="O45" s="51"/>
      <c r="P45" s="8" t="s">
        <v>112</v>
      </c>
      <c r="Q45" s="16" t="s">
        <v>83</v>
      </c>
      <c r="R45" s="4"/>
      <c r="S45" s="4" t="s">
        <v>230</v>
      </c>
      <c r="T45" s="1" t="s">
        <v>231</v>
      </c>
      <c r="U45" s="41" t="s">
        <v>230</v>
      </c>
    </row>
    <row r="46" spans="1:21" ht="38.4" customHeight="1" x14ac:dyDescent="0.25">
      <c r="A46" s="46">
        <v>283</v>
      </c>
      <c r="B46" s="15" t="s">
        <v>91</v>
      </c>
      <c r="C46" s="65" t="s">
        <v>332</v>
      </c>
      <c r="D46" s="5" t="s">
        <v>698</v>
      </c>
      <c r="E46" s="101" t="s">
        <v>692</v>
      </c>
      <c r="F46" s="5" t="s">
        <v>226</v>
      </c>
      <c r="G46" s="5"/>
      <c r="H46" s="5"/>
      <c r="I46" s="5"/>
      <c r="J46" s="53" t="s">
        <v>100</v>
      </c>
      <c r="K46" s="71" t="e">
        <f t="shared" si="3"/>
        <v>#VALUE!</v>
      </c>
      <c r="L46" s="92" t="s">
        <v>100</v>
      </c>
      <c r="M46" s="8" t="str">
        <f t="shared" si="0"/>
        <v>PCI</v>
      </c>
      <c r="N46" s="10" t="e">
        <f t="shared" ca="1" si="1"/>
        <v>#VALUE!</v>
      </c>
      <c r="O46" s="51"/>
      <c r="P46" s="8" t="s">
        <v>112</v>
      </c>
      <c r="Q46" s="16" t="s">
        <v>83</v>
      </c>
      <c r="R46" s="4"/>
      <c r="S46" s="4" t="s">
        <v>230</v>
      </c>
      <c r="T46" s="1" t="s">
        <v>231</v>
      </c>
      <c r="U46" s="41" t="s">
        <v>230</v>
      </c>
    </row>
    <row r="47" spans="1:21" ht="38.4" customHeight="1" x14ac:dyDescent="0.25">
      <c r="A47" s="46">
        <v>286</v>
      </c>
      <c r="B47" s="15" t="s">
        <v>92</v>
      </c>
      <c r="C47" s="65" t="s">
        <v>333</v>
      </c>
      <c r="D47" s="5" t="s">
        <v>699</v>
      </c>
      <c r="E47" s="101" t="s">
        <v>693</v>
      </c>
      <c r="F47" s="5" t="s">
        <v>226</v>
      </c>
      <c r="G47" s="5"/>
      <c r="H47" s="5"/>
      <c r="I47" s="5"/>
      <c r="J47" s="53" t="s">
        <v>100</v>
      </c>
      <c r="K47" s="71" t="e">
        <f t="shared" si="3"/>
        <v>#VALUE!</v>
      </c>
      <c r="L47" s="92" t="s">
        <v>100</v>
      </c>
      <c r="M47" s="8" t="str">
        <f t="shared" si="0"/>
        <v>PCI</v>
      </c>
      <c r="N47" s="10" t="e">
        <f t="shared" ca="1" si="1"/>
        <v>#VALUE!</v>
      </c>
      <c r="O47" s="51"/>
      <c r="P47" s="8" t="s">
        <v>112</v>
      </c>
      <c r="Q47" s="16" t="s">
        <v>82</v>
      </c>
      <c r="R47" s="4"/>
      <c r="S47" s="4" t="s">
        <v>230</v>
      </c>
      <c r="T47" s="1" t="s">
        <v>231</v>
      </c>
      <c r="U47" s="41" t="s">
        <v>230</v>
      </c>
    </row>
    <row r="48" spans="1:21" ht="38.4" customHeight="1" x14ac:dyDescent="0.25">
      <c r="A48" s="46">
        <v>282</v>
      </c>
      <c r="B48" s="15" t="s">
        <v>93</v>
      </c>
      <c r="C48" s="65" t="s">
        <v>332</v>
      </c>
      <c r="D48" s="5" t="s">
        <v>698</v>
      </c>
      <c r="E48" s="101" t="s">
        <v>694</v>
      </c>
      <c r="F48" s="5" t="s">
        <v>226</v>
      </c>
      <c r="G48" s="5"/>
      <c r="H48" s="5"/>
      <c r="I48" s="5"/>
      <c r="J48" s="53" t="s">
        <v>100</v>
      </c>
      <c r="K48" s="71" t="e">
        <f t="shared" si="3"/>
        <v>#VALUE!</v>
      </c>
      <c r="L48" s="92" t="s">
        <v>100</v>
      </c>
      <c r="M48" s="8" t="str">
        <f t="shared" si="0"/>
        <v>PCI</v>
      </c>
      <c r="N48" s="10" t="e">
        <f t="shared" ca="1" si="1"/>
        <v>#VALUE!</v>
      </c>
      <c r="O48" s="51"/>
      <c r="P48" s="8" t="s">
        <v>112</v>
      </c>
      <c r="Q48" s="16" t="s">
        <v>82</v>
      </c>
      <c r="R48" s="4"/>
      <c r="S48" s="4" t="s">
        <v>230</v>
      </c>
      <c r="T48" s="1" t="s">
        <v>231</v>
      </c>
      <c r="U48" s="41" t="s">
        <v>230</v>
      </c>
    </row>
    <row r="49" spans="1:21" ht="38.4" customHeight="1" x14ac:dyDescent="0.25">
      <c r="A49" s="46">
        <v>507</v>
      </c>
      <c r="B49" s="15" t="s">
        <v>94</v>
      </c>
      <c r="C49" s="107" t="s">
        <v>665</v>
      </c>
      <c r="D49" s="5" t="s">
        <v>665</v>
      </c>
      <c r="E49" s="101" t="s">
        <v>665</v>
      </c>
      <c r="F49" s="5"/>
      <c r="G49" s="5"/>
      <c r="H49" s="5"/>
      <c r="I49" s="5"/>
      <c r="J49" s="53" t="s">
        <v>100</v>
      </c>
      <c r="K49" s="71" t="e">
        <f t="shared" si="3"/>
        <v>#VALUE!</v>
      </c>
      <c r="L49" s="92" t="s">
        <v>100</v>
      </c>
      <c r="M49" s="8" t="str">
        <f t="shared" si="0"/>
        <v>PCI</v>
      </c>
      <c r="N49" s="10" t="e">
        <f t="shared" ca="1" si="1"/>
        <v>#VALUE!</v>
      </c>
      <c r="O49" s="51"/>
      <c r="P49" s="8" t="s">
        <v>112</v>
      </c>
      <c r="Q49" s="16" t="s">
        <v>82</v>
      </c>
      <c r="R49" s="4"/>
      <c r="S49" s="4" t="s">
        <v>230</v>
      </c>
      <c r="T49" s="1" t="s">
        <v>231</v>
      </c>
      <c r="U49" s="41" t="s">
        <v>230</v>
      </c>
    </row>
    <row r="50" spans="1:21" ht="38.4" customHeight="1" x14ac:dyDescent="0.25">
      <c r="A50" s="46">
        <v>288</v>
      </c>
      <c r="B50" s="15" t="s">
        <v>95</v>
      </c>
      <c r="C50" s="65" t="s">
        <v>334</v>
      </c>
      <c r="D50" s="5" t="s">
        <v>700</v>
      </c>
      <c r="E50" s="101" t="s">
        <v>701</v>
      </c>
      <c r="F50" s="5" t="s">
        <v>226</v>
      </c>
      <c r="G50" s="5"/>
      <c r="H50" s="5"/>
      <c r="I50" s="5"/>
      <c r="J50" s="53" t="s">
        <v>100</v>
      </c>
      <c r="K50" s="71" t="e">
        <f t="shared" si="3"/>
        <v>#VALUE!</v>
      </c>
      <c r="L50" s="92" t="s">
        <v>100</v>
      </c>
      <c r="M50" s="8" t="str">
        <f t="shared" si="0"/>
        <v>PCI</v>
      </c>
      <c r="N50" s="10" t="e">
        <f t="shared" ca="1" si="1"/>
        <v>#VALUE!</v>
      </c>
      <c r="O50" s="51"/>
      <c r="P50" s="8" t="s">
        <v>112</v>
      </c>
      <c r="Q50" s="16" t="s">
        <v>82</v>
      </c>
      <c r="R50" s="4"/>
      <c r="S50" s="4" t="s">
        <v>230</v>
      </c>
      <c r="T50" s="1" t="s">
        <v>231</v>
      </c>
      <c r="U50" s="41" t="s">
        <v>230</v>
      </c>
    </row>
    <row r="51" spans="1:21" ht="38.4" customHeight="1" x14ac:dyDescent="0.25">
      <c r="A51" s="46">
        <v>287</v>
      </c>
      <c r="B51" s="15" t="s">
        <v>96</v>
      </c>
      <c r="C51" s="65" t="s">
        <v>329</v>
      </c>
      <c r="D51" s="5" t="s">
        <v>690</v>
      </c>
      <c r="E51" s="101" t="s">
        <v>702</v>
      </c>
      <c r="F51" s="5" t="s">
        <v>226</v>
      </c>
      <c r="G51" s="5"/>
      <c r="H51" s="5"/>
      <c r="I51" s="5"/>
      <c r="J51" s="53" t="s">
        <v>100</v>
      </c>
      <c r="K51" s="71" t="e">
        <f t="shared" si="3"/>
        <v>#VALUE!</v>
      </c>
      <c r="L51" s="92" t="s">
        <v>100</v>
      </c>
      <c r="M51" s="8" t="str">
        <f t="shared" si="0"/>
        <v>PCI</v>
      </c>
      <c r="N51" s="10" t="e">
        <f t="shared" ca="1" si="1"/>
        <v>#VALUE!</v>
      </c>
      <c r="O51" s="51"/>
      <c r="P51" s="8" t="s">
        <v>112</v>
      </c>
      <c r="Q51" s="16" t="s">
        <v>83</v>
      </c>
      <c r="R51" s="4"/>
      <c r="S51" s="4" t="s">
        <v>230</v>
      </c>
      <c r="T51" s="1" t="s">
        <v>231</v>
      </c>
      <c r="U51" s="41" t="s">
        <v>230</v>
      </c>
    </row>
    <row r="52" spans="1:21" ht="38.4" customHeight="1" x14ac:dyDescent="0.25">
      <c r="A52" s="46">
        <v>508</v>
      </c>
      <c r="B52" s="15" t="s">
        <v>97</v>
      </c>
      <c r="C52" s="107" t="s">
        <v>665</v>
      </c>
      <c r="D52" s="5" t="s">
        <v>665</v>
      </c>
      <c r="E52" s="101" t="s">
        <v>665</v>
      </c>
      <c r="F52" s="5"/>
      <c r="G52" s="5"/>
      <c r="H52" s="5"/>
      <c r="I52" s="5"/>
      <c r="J52" s="53" t="s">
        <v>100</v>
      </c>
      <c r="K52" s="71" t="e">
        <f t="shared" si="3"/>
        <v>#VALUE!</v>
      </c>
      <c r="L52" s="92" t="s">
        <v>100</v>
      </c>
      <c r="M52" s="8" t="str">
        <f t="shared" si="0"/>
        <v>PCI</v>
      </c>
      <c r="N52" s="10" t="e">
        <f t="shared" ca="1" si="1"/>
        <v>#VALUE!</v>
      </c>
      <c r="O52" s="51"/>
      <c r="P52" s="8" t="s">
        <v>112</v>
      </c>
      <c r="Q52" s="16" t="s">
        <v>82</v>
      </c>
      <c r="R52" s="4"/>
      <c r="S52" s="4" t="s">
        <v>230</v>
      </c>
      <c r="T52" s="1" t="s">
        <v>231</v>
      </c>
      <c r="U52" s="41" t="s">
        <v>230</v>
      </c>
    </row>
    <row r="53" spans="1:21" ht="38.4" customHeight="1" x14ac:dyDescent="0.25">
      <c r="A53" s="46">
        <v>294</v>
      </c>
      <c r="B53" s="15" t="s">
        <v>98</v>
      </c>
      <c r="C53" s="65" t="s">
        <v>330</v>
      </c>
      <c r="D53" s="5" t="s">
        <v>695</v>
      </c>
      <c r="E53" s="101" t="s">
        <v>665</v>
      </c>
      <c r="F53" s="5" t="s">
        <v>226</v>
      </c>
      <c r="G53" s="5"/>
      <c r="H53" s="5"/>
      <c r="I53" s="5"/>
      <c r="J53" s="53" t="s">
        <v>100</v>
      </c>
      <c r="K53" s="71" t="e">
        <f t="shared" si="3"/>
        <v>#VALUE!</v>
      </c>
      <c r="L53" s="92" t="s">
        <v>100</v>
      </c>
      <c r="M53" s="8" t="str">
        <f t="shared" si="0"/>
        <v>PCI</v>
      </c>
      <c r="N53" s="10" t="e">
        <f t="shared" ca="1" si="1"/>
        <v>#VALUE!</v>
      </c>
      <c r="O53" s="51"/>
      <c r="P53" s="8" t="s">
        <v>112</v>
      </c>
      <c r="Q53" s="16" t="s">
        <v>82</v>
      </c>
      <c r="R53" s="4"/>
      <c r="S53" s="4" t="s">
        <v>230</v>
      </c>
      <c r="T53" s="1" t="s">
        <v>231</v>
      </c>
      <c r="U53" s="41" t="s">
        <v>230</v>
      </c>
    </row>
    <row r="54" spans="1:21" ht="38.4" customHeight="1" x14ac:dyDescent="0.25">
      <c r="A54" s="46">
        <v>296</v>
      </c>
      <c r="B54" s="15" t="s">
        <v>99</v>
      </c>
      <c r="C54" s="65" t="s">
        <v>335</v>
      </c>
      <c r="D54" s="5" t="s">
        <v>703</v>
      </c>
      <c r="E54" s="101" t="s">
        <v>665</v>
      </c>
      <c r="F54" s="5" t="s">
        <v>226</v>
      </c>
      <c r="G54" s="5"/>
      <c r="H54" s="5"/>
      <c r="I54" s="5"/>
      <c r="J54" s="53" t="s">
        <v>100</v>
      </c>
      <c r="K54" s="71" t="e">
        <f t="shared" si="3"/>
        <v>#VALUE!</v>
      </c>
      <c r="L54" s="92" t="s">
        <v>100</v>
      </c>
      <c r="M54" s="8" t="str">
        <f t="shared" si="0"/>
        <v>PCI</v>
      </c>
      <c r="N54" s="10" t="e">
        <f t="shared" ca="1" si="1"/>
        <v>#VALUE!</v>
      </c>
      <c r="O54" s="51"/>
      <c r="P54" s="8" t="s">
        <v>112</v>
      </c>
      <c r="Q54" s="16" t="s">
        <v>83</v>
      </c>
      <c r="R54" s="4"/>
      <c r="S54" s="4" t="s">
        <v>230</v>
      </c>
      <c r="T54" s="1" t="s">
        <v>231</v>
      </c>
      <c r="U54" s="41" t="s">
        <v>230</v>
      </c>
    </row>
    <row r="55" spans="1:21" ht="88.2" customHeight="1" x14ac:dyDescent="0.25">
      <c r="A55" s="46">
        <v>729</v>
      </c>
      <c r="B55" s="15" t="s">
        <v>106</v>
      </c>
      <c r="C55" s="65" t="s">
        <v>336</v>
      </c>
      <c r="D55" s="5" t="s">
        <v>704</v>
      </c>
      <c r="E55" s="101" t="s">
        <v>665</v>
      </c>
      <c r="F55" s="5" t="s">
        <v>77</v>
      </c>
      <c r="G55" s="5"/>
      <c r="H55" s="5"/>
      <c r="I55" s="5"/>
      <c r="J55" s="53">
        <v>44883</v>
      </c>
      <c r="K55" s="71">
        <v>45230</v>
      </c>
      <c r="L55" s="92">
        <v>12</v>
      </c>
      <c r="M55" s="8" t="str">
        <f t="shared" si="0"/>
        <v>PEN</v>
      </c>
      <c r="N55" s="10" t="str">
        <f t="shared" ca="1" si="1"/>
        <v>SIM</v>
      </c>
      <c r="O55" s="51"/>
      <c r="P55" s="8" t="s">
        <v>112</v>
      </c>
      <c r="Q55" s="16" t="s">
        <v>82</v>
      </c>
      <c r="R55" s="4" t="s">
        <v>204</v>
      </c>
      <c r="S55" s="4" t="s">
        <v>231</v>
      </c>
      <c r="T55" s="1" t="s">
        <v>231</v>
      </c>
      <c r="U55" s="41" t="s">
        <v>230</v>
      </c>
    </row>
    <row r="56" spans="1:21" ht="75" customHeight="1" x14ac:dyDescent="0.25">
      <c r="A56" s="46">
        <v>1359</v>
      </c>
      <c r="B56" s="15" t="s">
        <v>107</v>
      </c>
      <c r="C56" s="65" t="s">
        <v>337</v>
      </c>
      <c r="D56" s="5" t="s">
        <v>705</v>
      </c>
      <c r="E56" s="101" t="s">
        <v>665</v>
      </c>
      <c r="F56" s="5" t="s">
        <v>216</v>
      </c>
      <c r="G56" s="5"/>
      <c r="H56" s="5"/>
      <c r="I56" s="5"/>
      <c r="J56" s="53">
        <v>45635</v>
      </c>
      <c r="K56" s="71">
        <v>46022</v>
      </c>
      <c r="L56" s="92">
        <v>12</v>
      </c>
      <c r="M56" s="8" t="str">
        <f t="shared" si="0"/>
        <v>PEN</v>
      </c>
      <c r="N56" s="10" t="str">
        <f t="shared" ca="1" si="1"/>
        <v>NÃO</v>
      </c>
      <c r="O56" s="51"/>
      <c r="P56" s="8" t="s">
        <v>112</v>
      </c>
      <c r="Q56" s="16" t="s">
        <v>83</v>
      </c>
      <c r="R56" s="4"/>
      <c r="S56" s="4" t="s">
        <v>231</v>
      </c>
      <c r="T56" s="1" t="s">
        <v>231</v>
      </c>
      <c r="U56" s="41" t="s">
        <v>230</v>
      </c>
    </row>
    <row r="57" spans="1:21" ht="38.4" customHeight="1" x14ac:dyDescent="0.25">
      <c r="A57" s="46">
        <v>728</v>
      </c>
      <c r="B57" s="15" t="s">
        <v>108</v>
      </c>
      <c r="C57" s="65" t="s">
        <v>338</v>
      </c>
      <c r="D57" s="5" t="s">
        <v>706</v>
      </c>
      <c r="E57" s="101" t="s">
        <v>665</v>
      </c>
      <c r="F57" s="5" t="s">
        <v>77</v>
      </c>
      <c r="G57" s="5"/>
      <c r="H57" s="5"/>
      <c r="I57" s="5"/>
      <c r="J57" s="53">
        <v>44883</v>
      </c>
      <c r="K57" s="71">
        <v>45230</v>
      </c>
      <c r="L57" s="92">
        <v>12</v>
      </c>
      <c r="M57" s="8" t="str">
        <f t="shared" si="0"/>
        <v>PEN</v>
      </c>
      <c r="N57" s="10" t="str">
        <f t="shared" ca="1" si="1"/>
        <v>SIM</v>
      </c>
      <c r="O57" s="51"/>
      <c r="P57" s="8" t="s">
        <v>112</v>
      </c>
      <c r="Q57" s="16" t="s">
        <v>82</v>
      </c>
      <c r="R57" s="4" t="s">
        <v>204</v>
      </c>
      <c r="S57" s="4" t="s">
        <v>231</v>
      </c>
      <c r="T57" s="1" t="s">
        <v>231</v>
      </c>
      <c r="U57" s="41" t="s">
        <v>230</v>
      </c>
    </row>
    <row r="58" spans="1:21" ht="45" customHeight="1" x14ac:dyDescent="0.25">
      <c r="A58" s="46">
        <v>1226</v>
      </c>
      <c r="B58" s="15" t="s">
        <v>109</v>
      </c>
      <c r="C58" s="65" t="s">
        <v>339</v>
      </c>
      <c r="D58" s="5" t="s">
        <v>707</v>
      </c>
      <c r="E58" s="101" t="s">
        <v>708</v>
      </c>
      <c r="F58" s="5" t="s">
        <v>77</v>
      </c>
      <c r="G58" s="5"/>
      <c r="H58" s="5" t="s">
        <v>639</v>
      </c>
      <c r="I58" s="5"/>
      <c r="J58" s="53" t="s">
        <v>100</v>
      </c>
      <c r="K58" s="71" t="e">
        <f t="shared" si="3"/>
        <v>#VALUE!</v>
      </c>
      <c r="L58" s="92" t="s">
        <v>100</v>
      </c>
      <c r="M58" s="8" t="str">
        <f t="shared" si="0"/>
        <v>PEN</v>
      </c>
      <c r="N58" s="10" t="e">
        <f t="shared" ca="1" si="1"/>
        <v>#VALUE!</v>
      </c>
      <c r="O58" s="51"/>
      <c r="P58" s="8" t="s">
        <v>112</v>
      </c>
      <c r="Q58" s="16" t="s">
        <v>82</v>
      </c>
      <c r="R58" s="4" t="s">
        <v>204</v>
      </c>
      <c r="S58" s="4" t="s">
        <v>230</v>
      </c>
      <c r="T58" s="1" t="s">
        <v>231</v>
      </c>
      <c r="U58" s="41" t="s">
        <v>230</v>
      </c>
    </row>
    <row r="59" spans="1:21" ht="38.4" customHeight="1" x14ac:dyDescent="0.25">
      <c r="A59" s="46">
        <v>607</v>
      </c>
      <c r="B59" s="15" t="s">
        <v>110</v>
      </c>
      <c r="C59" s="65" t="s">
        <v>340</v>
      </c>
      <c r="D59" s="5" t="s">
        <v>709</v>
      </c>
      <c r="E59" s="102" t="s">
        <v>710</v>
      </c>
      <c r="F59" s="36" t="s">
        <v>225</v>
      </c>
      <c r="G59" s="5"/>
      <c r="H59" s="5" t="s">
        <v>639</v>
      </c>
      <c r="I59" s="5"/>
      <c r="J59" s="53">
        <v>45043</v>
      </c>
      <c r="K59" s="71">
        <v>45412</v>
      </c>
      <c r="L59" s="92">
        <v>12</v>
      </c>
      <c r="M59" s="8" t="str">
        <f t="shared" si="0"/>
        <v>PEN</v>
      </c>
      <c r="N59" s="10" t="str">
        <f t="shared" ca="1" si="1"/>
        <v>SIM</v>
      </c>
      <c r="O59" s="51"/>
      <c r="P59" s="8" t="s">
        <v>112</v>
      </c>
      <c r="Q59" s="16" t="s">
        <v>83</v>
      </c>
      <c r="R59" s="4"/>
      <c r="S59" s="4" t="s">
        <v>231</v>
      </c>
      <c r="T59" s="1" t="s">
        <v>231</v>
      </c>
      <c r="U59" s="41" t="s">
        <v>230</v>
      </c>
    </row>
    <row r="60" spans="1:21" ht="38.4" customHeight="1" x14ac:dyDescent="0.25">
      <c r="A60" s="46">
        <v>465</v>
      </c>
      <c r="B60" s="15" t="s">
        <v>111</v>
      </c>
      <c r="C60" s="65" t="s">
        <v>341</v>
      </c>
      <c r="D60" s="97">
        <v>131</v>
      </c>
      <c r="E60" s="101" t="s">
        <v>711</v>
      </c>
      <c r="F60" s="5" t="s">
        <v>223</v>
      </c>
      <c r="G60" s="5"/>
      <c r="H60" s="5"/>
      <c r="I60" s="5"/>
      <c r="J60" s="53" t="s">
        <v>100</v>
      </c>
      <c r="K60" s="71" t="e">
        <f t="shared" si="3"/>
        <v>#VALUE!</v>
      </c>
      <c r="L60" s="92" t="s">
        <v>100</v>
      </c>
      <c r="M60" s="8" t="str">
        <f t="shared" si="0"/>
        <v>VAC</v>
      </c>
      <c r="N60" s="10" t="e">
        <f t="shared" ca="1" si="1"/>
        <v>#VALUE!</v>
      </c>
      <c r="O60" s="51"/>
      <c r="P60" s="8" t="s">
        <v>112</v>
      </c>
      <c r="Q60" s="16" t="s">
        <v>82</v>
      </c>
      <c r="R60" s="4"/>
      <c r="S60" s="4" t="s">
        <v>230</v>
      </c>
      <c r="T60" s="1" t="s">
        <v>231</v>
      </c>
      <c r="U60" s="41" t="s">
        <v>230</v>
      </c>
    </row>
    <row r="61" spans="1:21" ht="38.4" customHeight="1" x14ac:dyDescent="0.25">
      <c r="A61" s="2">
        <v>530</v>
      </c>
      <c r="B61" s="15" t="s">
        <v>114</v>
      </c>
      <c r="C61" s="108" t="s">
        <v>665</v>
      </c>
      <c r="D61" s="3" t="s">
        <v>712</v>
      </c>
      <c r="E61" s="103" t="s">
        <v>713</v>
      </c>
      <c r="F61" s="1" t="s">
        <v>217</v>
      </c>
      <c r="G61" s="1"/>
      <c r="H61" s="1"/>
      <c r="I61" s="1"/>
      <c r="J61" s="56" t="s">
        <v>100</v>
      </c>
      <c r="K61" s="71" t="e">
        <f t="shared" ref="K61:K90" si="4">IF(J61="-",IF(L61="-","FORA DE USO","CALIBRAR"),IF(L61="-","FORA DE USO",EDATE(J61,L61)))</f>
        <v>#VALUE!</v>
      </c>
      <c r="L61" s="58" t="s">
        <v>100</v>
      </c>
      <c r="M61" s="8" t="str">
        <f t="shared" si="0"/>
        <v>CAS</v>
      </c>
      <c r="N61" s="10" t="e">
        <f t="shared" ca="1" si="1"/>
        <v>#VALUE!</v>
      </c>
      <c r="O61" s="4"/>
      <c r="P61" s="8" t="s">
        <v>113</v>
      </c>
      <c r="Q61" s="16" t="s">
        <v>82</v>
      </c>
      <c r="R61" s="4" t="s">
        <v>204</v>
      </c>
      <c r="S61" s="4" t="s">
        <v>230</v>
      </c>
      <c r="T61" s="1" t="s">
        <v>231</v>
      </c>
      <c r="U61" s="41" t="s">
        <v>230</v>
      </c>
    </row>
    <row r="62" spans="1:21" ht="38.4" customHeight="1" x14ac:dyDescent="0.25">
      <c r="A62" s="2">
        <v>80</v>
      </c>
      <c r="B62" s="15" t="s">
        <v>20</v>
      </c>
      <c r="C62" s="65" t="s">
        <v>342</v>
      </c>
      <c r="D62" s="3" t="s">
        <v>656</v>
      </c>
      <c r="E62" s="103" t="s">
        <v>716</v>
      </c>
      <c r="F62" s="1" t="s">
        <v>210</v>
      </c>
      <c r="G62" s="1"/>
      <c r="H62" s="1"/>
      <c r="I62" s="1"/>
      <c r="J62" s="56">
        <v>45812</v>
      </c>
      <c r="K62" s="71">
        <f t="shared" si="4"/>
        <v>46177</v>
      </c>
      <c r="L62" s="4">
        <v>12</v>
      </c>
      <c r="M62" s="8" t="str">
        <f t="shared" si="0"/>
        <v>BAL</v>
      </c>
      <c r="N62" s="10" t="str">
        <f t="shared" ca="1" si="1"/>
        <v>NÃO</v>
      </c>
      <c r="O62" s="4"/>
      <c r="P62" s="8" t="s">
        <v>113</v>
      </c>
      <c r="Q62" s="16" t="s">
        <v>82</v>
      </c>
      <c r="R62" s="4"/>
      <c r="S62" s="4" t="s">
        <v>231</v>
      </c>
      <c r="T62" s="1" t="s">
        <v>231</v>
      </c>
      <c r="U62" s="41" t="s">
        <v>230</v>
      </c>
    </row>
    <row r="63" spans="1:21" ht="38.4" customHeight="1" x14ac:dyDescent="0.25">
      <c r="A63" s="2">
        <v>767</v>
      </c>
      <c r="B63" s="15" t="s">
        <v>115</v>
      </c>
      <c r="C63" s="65" t="s">
        <v>343</v>
      </c>
      <c r="D63" s="3" t="s">
        <v>717</v>
      </c>
      <c r="E63" s="103" t="s">
        <v>718</v>
      </c>
      <c r="F63" s="1" t="s">
        <v>213</v>
      </c>
      <c r="G63" s="1"/>
      <c r="H63" s="1"/>
      <c r="I63" s="1"/>
      <c r="J63" s="56" t="s">
        <v>100</v>
      </c>
      <c r="K63" s="71" t="e">
        <f t="shared" si="4"/>
        <v>#VALUE!</v>
      </c>
      <c r="L63" s="4" t="s">
        <v>100</v>
      </c>
      <c r="M63" s="8" t="str">
        <f t="shared" si="0"/>
        <v>CAS</v>
      </c>
      <c r="N63" s="10" t="e">
        <f t="shared" ca="1" si="1"/>
        <v>#VALUE!</v>
      </c>
      <c r="O63" s="4"/>
      <c r="P63" s="8" t="s">
        <v>113</v>
      </c>
      <c r="Q63" s="16" t="s">
        <v>82</v>
      </c>
      <c r="R63" s="4" t="s">
        <v>204</v>
      </c>
      <c r="S63" s="4" t="s">
        <v>230</v>
      </c>
      <c r="T63" s="1" t="s">
        <v>231</v>
      </c>
      <c r="U63" s="41" t="s">
        <v>230</v>
      </c>
    </row>
    <row r="64" spans="1:21" ht="38.4" customHeight="1" x14ac:dyDescent="0.25">
      <c r="A64" s="2">
        <v>531</v>
      </c>
      <c r="B64" s="15" t="s">
        <v>116</v>
      </c>
      <c r="C64" s="85" t="s">
        <v>636</v>
      </c>
      <c r="D64" s="3" t="s">
        <v>712</v>
      </c>
      <c r="E64" s="103" t="s">
        <v>715</v>
      </c>
      <c r="F64" s="1"/>
      <c r="G64" s="1"/>
      <c r="H64" s="1"/>
      <c r="I64" s="1"/>
      <c r="J64" s="56" t="s">
        <v>100</v>
      </c>
      <c r="K64" s="71" t="e">
        <f t="shared" si="4"/>
        <v>#VALUE!</v>
      </c>
      <c r="L64" s="4" t="s">
        <v>100</v>
      </c>
      <c r="M64" s="8" t="str">
        <f t="shared" si="0"/>
        <v>CAS</v>
      </c>
      <c r="N64" s="10" t="e">
        <f t="shared" ca="1" si="1"/>
        <v>#VALUE!</v>
      </c>
      <c r="O64" s="4"/>
      <c r="P64" s="8" t="s">
        <v>113</v>
      </c>
      <c r="Q64" s="16" t="s">
        <v>82</v>
      </c>
      <c r="R64" s="4" t="s">
        <v>204</v>
      </c>
      <c r="S64" s="4" t="s">
        <v>230</v>
      </c>
      <c r="T64" s="1" t="s">
        <v>230</v>
      </c>
      <c r="U64" s="20" t="s">
        <v>231</v>
      </c>
    </row>
    <row r="65" spans="1:21" ht="38.4" customHeight="1" x14ac:dyDescent="0.25">
      <c r="A65" s="2">
        <v>342</v>
      </c>
      <c r="B65" s="15" t="s">
        <v>117</v>
      </c>
      <c r="C65" s="65" t="s">
        <v>344</v>
      </c>
      <c r="D65" s="3" t="s">
        <v>644</v>
      </c>
      <c r="E65" s="103" t="s">
        <v>719</v>
      </c>
      <c r="F65" s="1" t="s">
        <v>224</v>
      </c>
      <c r="G65" s="1"/>
      <c r="H65" s="1"/>
      <c r="I65" s="1"/>
      <c r="J65" s="56">
        <v>45345</v>
      </c>
      <c r="K65" s="71">
        <f t="shared" si="4"/>
        <v>45711</v>
      </c>
      <c r="L65" s="4">
        <v>12</v>
      </c>
      <c r="M65" s="8" t="str">
        <f t="shared" si="0"/>
        <v>REL</v>
      </c>
      <c r="N65" s="10" t="str">
        <f t="shared" ca="1" si="1"/>
        <v>SIM</v>
      </c>
      <c r="O65" s="4"/>
      <c r="P65" s="8" t="s">
        <v>113</v>
      </c>
      <c r="Q65" s="16" t="s">
        <v>82</v>
      </c>
      <c r="R65" s="4" t="s">
        <v>204</v>
      </c>
      <c r="S65" s="4" t="s">
        <v>231</v>
      </c>
      <c r="T65" s="1" t="s">
        <v>231</v>
      </c>
      <c r="U65" s="20" t="s">
        <v>230</v>
      </c>
    </row>
    <row r="66" spans="1:21" ht="38.4" customHeight="1" x14ac:dyDescent="0.25">
      <c r="A66" s="2">
        <v>1623</v>
      </c>
      <c r="B66" s="15" t="s">
        <v>625</v>
      </c>
      <c r="C66" s="65" t="s">
        <v>344</v>
      </c>
      <c r="D66" s="3" t="s">
        <v>720</v>
      </c>
      <c r="E66" s="103" t="s">
        <v>665</v>
      </c>
      <c r="F66" s="1" t="s">
        <v>224</v>
      </c>
      <c r="G66" s="1"/>
      <c r="H66" s="1"/>
      <c r="I66" s="1"/>
      <c r="J66" s="56">
        <v>45698</v>
      </c>
      <c r="K66" s="71">
        <v>46081</v>
      </c>
      <c r="L66" s="4">
        <v>12</v>
      </c>
      <c r="M66" s="8" t="str">
        <f t="shared" ref="M66:M129" si="5">LEFT(B66,3)</f>
        <v>REL</v>
      </c>
      <c r="N66" s="10" t="str">
        <f t="shared" ca="1" si="1"/>
        <v>NÃO</v>
      </c>
      <c r="O66" s="4"/>
      <c r="P66" s="8" t="s">
        <v>38</v>
      </c>
      <c r="Q66" s="16" t="s">
        <v>82</v>
      </c>
      <c r="R66" s="4" t="s">
        <v>204</v>
      </c>
      <c r="S66" s="4" t="s">
        <v>231</v>
      </c>
      <c r="T66" s="1" t="s">
        <v>231</v>
      </c>
      <c r="U66" s="20" t="s">
        <v>230</v>
      </c>
    </row>
    <row r="67" spans="1:21" ht="38.4" customHeight="1" x14ac:dyDescent="0.25">
      <c r="A67" s="2"/>
      <c r="B67" s="15" t="s">
        <v>37</v>
      </c>
      <c r="C67" s="66"/>
      <c r="D67" s="3"/>
      <c r="E67" s="103"/>
      <c r="F67" s="1"/>
      <c r="G67" s="1"/>
      <c r="H67" s="1"/>
      <c r="I67" s="1"/>
      <c r="J67" s="56">
        <v>45791</v>
      </c>
      <c r="K67" s="71">
        <f t="shared" si="4"/>
        <v>46156</v>
      </c>
      <c r="L67" s="4">
        <v>12</v>
      </c>
      <c r="M67" s="8" t="str">
        <f t="shared" si="5"/>
        <v>MAN</v>
      </c>
      <c r="N67" s="10" t="str">
        <f t="shared" ref="N67:N130" ca="1" si="6">IF(K67="","",IF(TODAY()&gt;K67,"SIM","NÃO"))</f>
        <v>NÃO</v>
      </c>
      <c r="O67" s="4"/>
      <c r="P67" s="8" t="s">
        <v>113</v>
      </c>
      <c r="Q67" s="16" t="s">
        <v>83</v>
      </c>
      <c r="R67" s="4"/>
      <c r="S67" s="4" t="s">
        <v>231</v>
      </c>
      <c r="T67" s="1" t="s">
        <v>230</v>
      </c>
      <c r="U67" s="20" t="s">
        <v>230</v>
      </c>
    </row>
    <row r="68" spans="1:21" ht="38.4" customHeight="1" x14ac:dyDescent="0.25">
      <c r="A68" s="2">
        <v>1529</v>
      </c>
      <c r="B68" s="15" t="s">
        <v>118</v>
      </c>
      <c r="C68" s="65" t="s">
        <v>345</v>
      </c>
      <c r="D68" s="3" t="s">
        <v>665</v>
      </c>
      <c r="E68" s="103" t="s">
        <v>665</v>
      </c>
      <c r="F68" s="1" t="s">
        <v>223</v>
      </c>
      <c r="G68" s="1"/>
      <c r="H68" s="1"/>
      <c r="I68" s="1"/>
      <c r="J68" s="56">
        <v>45812</v>
      </c>
      <c r="K68" s="71">
        <f t="shared" si="4"/>
        <v>46177</v>
      </c>
      <c r="L68" s="4">
        <v>12</v>
      </c>
      <c r="M68" s="8" t="str">
        <f t="shared" si="5"/>
        <v>VAC</v>
      </c>
      <c r="N68" s="10" t="str">
        <f t="shared" ca="1" si="6"/>
        <v>NÃO</v>
      </c>
      <c r="O68" s="4"/>
      <c r="P68" s="8" t="s">
        <v>113</v>
      </c>
      <c r="Q68" s="16" t="s">
        <v>82</v>
      </c>
      <c r="R68" s="4" t="s">
        <v>204</v>
      </c>
      <c r="S68" s="4" t="s">
        <v>231</v>
      </c>
      <c r="T68" s="1" t="s">
        <v>231</v>
      </c>
      <c r="U68" s="41" t="s">
        <v>230</v>
      </c>
    </row>
    <row r="69" spans="1:21" ht="38.4" customHeight="1" x14ac:dyDescent="0.25">
      <c r="A69" s="2">
        <v>466</v>
      </c>
      <c r="B69" s="15" t="s">
        <v>119</v>
      </c>
      <c r="C69" s="65" t="s">
        <v>346</v>
      </c>
      <c r="D69" s="3">
        <v>131</v>
      </c>
      <c r="E69" s="103" t="s">
        <v>721</v>
      </c>
      <c r="F69" s="1" t="s">
        <v>223</v>
      </c>
      <c r="G69" s="1"/>
      <c r="H69" s="1"/>
      <c r="I69" s="1"/>
      <c r="J69" s="56">
        <v>45369</v>
      </c>
      <c r="K69" s="71">
        <f t="shared" si="4"/>
        <v>45734</v>
      </c>
      <c r="L69" s="4">
        <v>12</v>
      </c>
      <c r="M69" s="8" t="str">
        <f t="shared" si="5"/>
        <v>VAC</v>
      </c>
      <c r="N69" s="10" t="str">
        <f t="shared" ca="1" si="6"/>
        <v>SIM</v>
      </c>
      <c r="O69" s="4"/>
      <c r="P69" s="8" t="s">
        <v>113</v>
      </c>
      <c r="Q69" s="16" t="s">
        <v>82</v>
      </c>
      <c r="R69" s="4" t="s">
        <v>204</v>
      </c>
      <c r="S69" s="4" t="s">
        <v>231</v>
      </c>
      <c r="T69" s="1" t="s">
        <v>231</v>
      </c>
      <c r="U69" s="41" t="s">
        <v>230</v>
      </c>
    </row>
    <row r="70" spans="1:21" ht="38.4" customHeight="1" x14ac:dyDescent="0.25">
      <c r="A70" s="2"/>
      <c r="B70" s="15"/>
      <c r="C70" s="66"/>
      <c r="D70" s="3"/>
      <c r="E70" s="103"/>
      <c r="F70" s="1"/>
      <c r="G70" s="1"/>
      <c r="H70" s="1"/>
      <c r="I70" s="1"/>
      <c r="J70" s="56">
        <v>45369</v>
      </c>
      <c r="K70" s="71">
        <f t="shared" si="4"/>
        <v>45734</v>
      </c>
      <c r="L70" s="4">
        <v>12</v>
      </c>
      <c r="M70" s="8" t="str">
        <f t="shared" si="5"/>
        <v/>
      </c>
      <c r="N70" s="10" t="str">
        <f t="shared" ca="1" si="6"/>
        <v>SIM</v>
      </c>
      <c r="O70" s="4"/>
      <c r="P70" s="8" t="s">
        <v>113</v>
      </c>
      <c r="Q70" s="16" t="s">
        <v>83</v>
      </c>
      <c r="R70" s="4"/>
      <c r="S70" s="4" t="s">
        <v>231</v>
      </c>
      <c r="T70" s="1" t="s">
        <v>230</v>
      </c>
      <c r="U70" s="20" t="s">
        <v>230</v>
      </c>
    </row>
    <row r="71" spans="1:21" ht="38.4" customHeight="1" x14ac:dyDescent="0.25">
      <c r="A71" s="2">
        <v>791</v>
      </c>
      <c r="B71" s="15" t="s">
        <v>120</v>
      </c>
      <c r="C71" s="65" t="s">
        <v>346</v>
      </c>
      <c r="D71" s="3" t="s">
        <v>658</v>
      </c>
      <c r="E71" s="103" t="s">
        <v>722</v>
      </c>
      <c r="F71" s="1" t="s">
        <v>209</v>
      </c>
      <c r="G71" s="1"/>
      <c r="H71" s="1"/>
      <c r="I71" s="1"/>
      <c r="J71" s="56" t="s">
        <v>100</v>
      </c>
      <c r="K71" s="71" t="e">
        <f t="shared" si="4"/>
        <v>#VALUE!</v>
      </c>
      <c r="L71" s="4" t="s">
        <v>100</v>
      </c>
      <c r="M71" s="8" t="str">
        <f t="shared" si="5"/>
        <v>BAL</v>
      </c>
      <c r="N71" s="10" t="e">
        <f t="shared" ca="1" si="6"/>
        <v>#VALUE!</v>
      </c>
      <c r="O71" s="4"/>
      <c r="P71" s="8" t="s">
        <v>113</v>
      </c>
      <c r="Q71" s="16" t="s">
        <v>82</v>
      </c>
      <c r="R71" s="4" t="s">
        <v>204</v>
      </c>
      <c r="S71" s="4" t="s">
        <v>230</v>
      </c>
      <c r="T71" s="1" t="s">
        <v>231</v>
      </c>
      <c r="U71" s="41" t="s">
        <v>230</v>
      </c>
    </row>
    <row r="72" spans="1:21" ht="38.4" customHeight="1" x14ac:dyDescent="0.25">
      <c r="A72" s="2">
        <v>68</v>
      </c>
      <c r="B72" s="15" t="s">
        <v>33</v>
      </c>
      <c r="C72" s="67" t="s">
        <v>24</v>
      </c>
      <c r="D72" s="37" t="s">
        <v>25</v>
      </c>
      <c r="E72" s="104" t="s">
        <v>723</v>
      </c>
      <c r="F72" s="37" t="s">
        <v>32</v>
      </c>
      <c r="G72" s="37" t="s">
        <v>27</v>
      </c>
      <c r="H72" s="37" t="s">
        <v>28</v>
      </c>
      <c r="I72" s="37" t="s">
        <v>29</v>
      </c>
      <c r="J72" s="56">
        <v>45791</v>
      </c>
      <c r="K72" s="71">
        <f t="shared" si="4"/>
        <v>46156</v>
      </c>
      <c r="L72" s="4">
        <v>12</v>
      </c>
      <c r="M72" s="8" t="str">
        <f t="shared" si="5"/>
        <v>EST</v>
      </c>
      <c r="N72" s="10" t="str">
        <f t="shared" ca="1" si="6"/>
        <v>NÃO</v>
      </c>
      <c r="O72" s="4"/>
      <c r="P72" s="8" t="s">
        <v>113</v>
      </c>
      <c r="Q72" s="16" t="s">
        <v>82</v>
      </c>
      <c r="R72" s="4"/>
      <c r="S72" s="4" t="s">
        <v>231</v>
      </c>
      <c r="T72" s="1" t="s">
        <v>231</v>
      </c>
      <c r="U72" s="41" t="s">
        <v>230</v>
      </c>
    </row>
    <row r="73" spans="1:21" ht="38.4" customHeight="1" x14ac:dyDescent="0.25">
      <c r="A73" s="2">
        <v>69</v>
      </c>
      <c r="B73" s="15" t="s">
        <v>34</v>
      </c>
      <c r="C73" s="67" t="s">
        <v>24</v>
      </c>
      <c r="D73" s="37" t="s">
        <v>35</v>
      </c>
      <c r="E73" s="104">
        <v>20070077</v>
      </c>
      <c r="F73" s="37" t="s">
        <v>36</v>
      </c>
      <c r="G73" s="37" t="s">
        <v>27</v>
      </c>
      <c r="H73" s="37" t="s">
        <v>28</v>
      </c>
      <c r="I73" s="37" t="s">
        <v>29</v>
      </c>
      <c r="J73" s="56">
        <v>45791</v>
      </c>
      <c r="K73" s="71">
        <f t="shared" si="4"/>
        <v>46156</v>
      </c>
      <c r="L73" s="4">
        <v>12</v>
      </c>
      <c r="M73" s="8" t="str">
        <f t="shared" si="5"/>
        <v>EST</v>
      </c>
      <c r="N73" s="10" t="str">
        <f t="shared" ca="1" si="6"/>
        <v>NÃO</v>
      </c>
      <c r="O73" s="4"/>
      <c r="P73" s="8" t="s">
        <v>113</v>
      </c>
      <c r="Q73" s="16" t="s">
        <v>82</v>
      </c>
      <c r="R73" s="4" t="s">
        <v>204</v>
      </c>
      <c r="S73" s="4" t="s">
        <v>231</v>
      </c>
      <c r="T73" s="1" t="s">
        <v>231</v>
      </c>
      <c r="U73" s="41" t="s">
        <v>230</v>
      </c>
    </row>
    <row r="74" spans="1:21" ht="38.4" customHeight="1" x14ac:dyDescent="0.25">
      <c r="A74" s="2">
        <v>65</v>
      </c>
      <c r="B74" s="15" t="s">
        <v>23</v>
      </c>
      <c r="C74" s="67" t="s">
        <v>24</v>
      </c>
      <c r="D74" s="37" t="s">
        <v>25</v>
      </c>
      <c r="E74" s="104">
        <v>11062730</v>
      </c>
      <c r="F74" s="37" t="s">
        <v>26</v>
      </c>
      <c r="G74" s="37" t="s">
        <v>27</v>
      </c>
      <c r="H74" s="37" t="s">
        <v>28</v>
      </c>
      <c r="I74" s="37" t="s">
        <v>29</v>
      </c>
      <c r="J74" s="56">
        <v>45791</v>
      </c>
      <c r="K74" s="71">
        <f t="shared" si="4"/>
        <v>46156</v>
      </c>
      <c r="L74" s="4">
        <v>12</v>
      </c>
      <c r="M74" s="8" t="str">
        <f t="shared" si="5"/>
        <v>EST</v>
      </c>
      <c r="N74" s="10" t="str">
        <f t="shared" ca="1" si="6"/>
        <v>NÃO</v>
      </c>
      <c r="O74" s="4"/>
      <c r="P74" s="8" t="s">
        <v>113</v>
      </c>
      <c r="Q74" s="16" t="s">
        <v>82</v>
      </c>
      <c r="R74" s="4"/>
      <c r="S74" s="4" t="s">
        <v>231</v>
      </c>
      <c r="T74" s="1" t="s">
        <v>231</v>
      </c>
      <c r="U74" s="41" t="s">
        <v>230</v>
      </c>
    </row>
    <row r="75" spans="1:21" ht="38.4" customHeight="1" x14ac:dyDescent="0.25">
      <c r="A75" s="2">
        <v>1591</v>
      </c>
      <c r="B75" s="18" t="s">
        <v>197</v>
      </c>
      <c r="C75" s="67" t="s">
        <v>24</v>
      </c>
      <c r="D75" s="3" t="s">
        <v>198</v>
      </c>
      <c r="E75" s="103" t="s">
        <v>199</v>
      </c>
      <c r="F75" s="1" t="s">
        <v>32</v>
      </c>
      <c r="G75" s="37" t="s">
        <v>27</v>
      </c>
      <c r="H75" s="37" t="s">
        <v>28</v>
      </c>
      <c r="I75" s="37" t="s">
        <v>29</v>
      </c>
      <c r="J75" s="56">
        <v>45832</v>
      </c>
      <c r="K75" s="71">
        <f t="shared" si="4"/>
        <v>46197</v>
      </c>
      <c r="L75" s="4">
        <v>12</v>
      </c>
      <c r="M75" s="8" t="str">
        <f t="shared" si="5"/>
        <v>EST</v>
      </c>
      <c r="N75" s="10" t="str">
        <f t="shared" ca="1" si="6"/>
        <v>NÃO</v>
      </c>
      <c r="O75" s="4"/>
      <c r="P75" s="8" t="s">
        <v>113</v>
      </c>
      <c r="Q75" s="16" t="s">
        <v>82</v>
      </c>
      <c r="R75" s="4"/>
      <c r="S75" s="4" t="s">
        <v>230</v>
      </c>
      <c r="T75" s="1" t="s">
        <v>231</v>
      </c>
      <c r="U75" s="41" t="s">
        <v>230</v>
      </c>
    </row>
    <row r="76" spans="1:21" ht="38.4" customHeight="1" x14ac:dyDescent="0.25">
      <c r="A76" s="2">
        <v>1455</v>
      </c>
      <c r="B76" s="15" t="s">
        <v>121</v>
      </c>
      <c r="C76" s="65" t="s">
        <v>347</v>
      </c>
      <c r="D76" s="3" t="s">
        <v>658</v>
      </c>
      <c r="E76" s="103" t="s">
        <v>724</v>
      </c>
      <c r="F76" s="1" t="s">
        <v>209</v>
      </c>
      <c r="G76" s="1"/>
      <c r="H76" s="1"/>
      <c r="I76" s="1"/>
      <c r="J76" s="56" t="s">
        <v>100</v>
      </c>
      <c r="K76" s="71" t="e">
        <f t="shared" si="4"/>
        <v>#VALUE!</v>
      </c>
      <c r="L76" s="4" t="s">
        <v>100</v>
      </c>
      <c r="M76" s="8" t="str">
        <f t="shared" si="5"/>
        <v>BAL</v>
      </c>
      <c r="N76" s="10" t="e">
        <f t="shared" ca="1" si="6"/>
        <v>#VALUE!</v>
      </c>
      <c r="O76" s="4"/>
      <c r="P76" s="8" t="s">
        <v>113</v>
      </c>
      <c r="Q76" s="16" t="s">
        <v>82</v>
      </c>
      <c r="R76" s="4" t="s">
        <v>204</v>
      </c>
      <c r="S76" s="4" t="s">
        <v>230</v>
      </c>
      <c r="T76" s="1" t="s">
        <v>231</v>
      </c>
      <c r="U76" s="41" t="s">
        <v>230</v>
      </c>
    </row>
    <row r="77" spans="1:21" ht="38.4" customHeight="1" x14ac:dyDescent="0.25">
      <c r="A77" s="2">
        <v>58</v>
      </c>
      <c r="B77" s="18" t="s">
        <v>75</v>
      </c>
      <c r="C77" s="68" t="s">
        <v>200</v>
      </c>
      <c r="D77" s="3" t="s">
        <v>665</v>
      </c>
      <c r="E77" s="98" t="s">
        <v>201</v>
      </c>
      <c r="F77" s="80" t="s">
        <v>68</v>
      </c>
      <c r="G77" s="1"/>
      <c r="H77" s="1"/>
      <c r="I77" s="1"/>
      <c r="J77" s="56">
        <v>45859</v>
      </c>
      <c r="K77" s="71">
        <v>46081</v>
      </c>
      <c r="L77" s="4">
        <v>12</v>
      </c>
      <c r="M77" s="8" t="str">
        <f t="shared" si="5"/>
        <v>PRE</v>
      </c>
      <c r="N77" s="10" t="str">
        <f t="shared" ca="1" si="6"/>
        <v>NÃO</v>
      </c>
      <c r="O77" s="4"/>
      <c r="P77" s="8" t="s">
        <v>113</v>
      </c>
      <c r="Q77" s="16" t="s">
        <v>82</v>
      </c>
      <c r="R77" s="4" t="s">
        <v>204</v>
      </c>
      <c r="S77" s="4" t="s">
        <v>231</v>
      </c>
      <c r="T77" s="1" t="s">
        <v>231</v>
      </c>
      <c r="U77" s="41" t="s">
        <v>230</v>
      </c>
    </row>
    <row r="78" spans="1:21" ht="38.4" customHeight="1" x14ac:dyDescent="0.25">
      <c r="A78" s="2">
        <v>1183</v>
      </c>
      <c r="B78" s="18" t="s">
        <v>122</v>
      </c>
      <c r="C78" s="65" t="s">
        <v>348</v>
      </c>
      <c r="D78" s="3" t="s">
        <v>725</v>
      </c>
      <c r="E78" s="103" t="s">
        <v>714</v>
      </c>
      <c r="F78" s="1" t="s">
        <v>222</v>
      </c>
      <c r="G78" s="1"/>
      <c r="H78" s="1"/>
      <c r="I78" s="1"/>
      <c r="J78" s="56">
        <v>45202</v>
      </c>
      <c r="K78" s="71">
        <v>45596</v>
      </c>
      <c r="L78" s="4">
        <v>12</v>
      </c>
      <c r="M78" s="8" t="str">
        <f t="shared" si="5"/>
        <v>PAQ</v>
      </c>
      <c r="N78" s="10" t="str">
        <f t="shared" ca="1" si="6"/>
        <v>SIM</v>
      </c>
      <c r="O78" s="4"/>
      <c r="P78" s="8" t="s">
        <v>113</v>
      </c>
      <c r="Q78" s="16" t="s">
        <v>82</v>
      </c>
      <c r="R78" s="4" t="s">
        <v>204</v>
      </c>
      <c r="S78" s="4" t="s">
        <v>231</v>
      </c>
      <c r="T78" s="1" t="s">
        <v>231</v>
      </c>
      <c r="U78" s="41" t="s">
        <v>230</v>
      </c>
    </row>
    <row r="79" spans="1:21" ht="38.4" customHeight="1" x14ac:dyDescent="0.25">
      <c r="A79" s="2">
        <v>1390</v>
      </c>
      <c r="B79" s="18" t="s">
        <v>162</v>
      </c>
      <c r="C79" s="65" t="s">
        <v>349</v>
      </c>
      <c r="D79" s="3" t="s">
        <v>726</v>
      </c>
      <c r="E79" s="103" t="s">
        <v>665</v>
      </c>
      <c r="F79" s="1" t="s">
        <v>210</v>
      </c>
      <c r="G79" s="1"/>
      <c r="H79" s="1"/>
      <c r="I79" s="1"/>
      <c r="J79" s="57">
        <v>45812</v>
      </c>
      <c r="K79" s="71">
        <f>IF(J79="-",IF(L79="-","FORA DE USO","CALIBRAR"),IF(L79="-","FORA DE USO",EDATE(J79,L79)))</f>
        <v>46177</v>
      </c>
      <c r="L79" s="4">
        <v>12</v>
      </c>
      <c r="M79" s="8" t="str">
        <f t="shared" si="5"/>
        <v>BAL</v>
      </c>
      <c r="N79" s="10" t="str">
        <f t="shared" ca="1" si="6"/>
        <v>NÃO</v>
      </c>
      <c r="O79" s="4"/>
      <c r="P79" s="8" t="s">
        <v>161</v>
      </c>
      <c r="Q79" s="16" t="s">
        <v>82</v>
      </c>
      <c r="R79" s="4"/>
      <c r="S79" s="4" t="s">
        <v>231</v>
      </c>
      <c r="T79" s="1" t="s">
        <v>231</v>
      </c>
      <c r="U79" s="41" t="s">
        <v>230</v>
      </c>
    </row>
    <row r="80" spans="1:21" ht="38.4" customHeight="1" x14ac:dyDescent="0.25">
      <c r="A80" s="2">
        <v>655</v>
      </c>
      <c r="B80" s="18" t="s">
        <v>163</v>
      </c>
      <c r="C80" s="65" t="s">
        <v>350</v>
      </c>
      <c r="D80" s="3" t="s">
        <v>727</v>
      </c>
      <c r="E80" s="103" t="s">
        <v>728</v>
      </c>
      <c r="F80" s="1" t="s">
        <v>210</v>
      </c>
      <c r="G80" s="1"/>
      <c r="H80" s="1"/>
      <c r="I80" s="1"/>
      <c r="J80" s="57">
        <v>45323</v>
      </c>
      <c r="K80" s="71">
        <v>45626</v>
      </c>
      <c r="L80" s="4">
        <v>12</v>
      </c>
      <c r="M80" s="8" t="str">
        <f t="shared" si="5"/>
        <v>BAL</v>
      </c>
      <c r="N80" s="10" t="str">
        <f t="shared" ca="1" si="6"/>
        <v>SIM</v>
      </c>
      <c r="O80" s="4"/>
      <c r="P80" s="8" t="s">
        <v>161</v>
      </c>
      <c r="Q80" s="16" t="s">
        <v>82</v>
      </c>
      <c r="R80" s="4" t="s">
        <v>204</v>
      </c>
      <c r="S80" s="4" t="s">
        <v>231</v>
      </c>
      <c r="T80" s="1" t="s">
        <v>231</v>
      </c>
      <c r="U80" s="41" t="s">
        <v>230</v>
      </c>
    </row>
    <row r="81" spans="1:21" ht="38.4" customHeight="1" x14ac:dyDescent="0.25">
      <c r="A81" s="2">
        <v>201</v>
      </c>
      <c r="B81" s="18" t="s">
        <v>164</v>
      </c>
      <c r="C81" s="65" t="s">
        <v>322</v>
      </c>
      <c r="D81" s="3" t="s">
        <v>678</v>
      </c>
      <c r="E81" s="103" t="s">
        <v>732</v>
      </c>
      <c r="F81" s="1" t="s">
        <v>215</v>
      </c>
      <c r="G81" s="1"/>
      <c r="H81" s="1"/>
      <c r="I81" s="1"/>
      <c r="J81" s="57" t="s">
        <v>100</v>
      </c>
      <c r="K81" s="71" t="e">
        <f t="shared" si="4"/>
        <v>#VALUE!</v>
      </c>
      <c r="L81" s="4" t="s">
        <v>100</v>
      </c>
      <c r="M81" s="8" t="str">
        <f t="shared" si="5"/>
        <v>PEN</v>
      </c>
      <c r="N81" s="10" t="e">
        <f t="shared" ca="1" si="6"/>
        <v>#VALUE!</v>
      </c>
      <c r="O81" s="4"/>
      <c r="P81" s="8" t="s">
        <v>161</v>
      </c>
      <c r="Q81" s="16" t="s">
        <v>82</v>
      </c>
      <c r="R81" s="4" t="s">
        <v>204</v>
      </c>
      <c r="S81" s="4" t="s">
        <v>230</v>
      </c>
      <c r="T81" s="1" t="s">
        <v>231</v>
      </c>
      <c r="U81" s="41" t="s">
        <v>230</v>
      </c>
    </row>
    <row r="82" spans="1:21" ht="38.4" customHeight="1" x14ac:dyDescent="0.25">
      <c r="A82" s="2">
        <v>67</v>
      </c>
      <c r="B82" s="18" t="s">
        <v>31</v>
      </c>
      <c r="C82" s="65" t="s">
        <v>24</v>
      </c>
      <c r="D82" s="3" t="s">
        <v>25</v>
      </c>
      <c r="E82" s="103" t="s">
        <v>733</v>
      </c>
      <c r="F82" s="1" t="s">
        <v>32</v>
      </c>
      <c r="G82" s="1"/>
      <c r="H82" s="1"/>
      <c r="I82" s="1"/>
      <c r="J82" s="57">
        <v>45791</v>
      </c>
      <c r="K82" s="71">
        <f t="shared" si="4"/>
        <v>46156</v>
      </c>
      <c r="L82" s="4">
        <v>12</v>
      </c>
      <c r="M82" s="8" t="str">
        <f t="shared" si="5"/>
        <v>EST</v>
      </c>
      <c r="N82" s="10" t="str">
        <f t="shared" ca="1" si="6"/>
        <v>NÃO</v>
      </c>
      <c r="O82" s="4"/>
      <c r="P82" s="8" t="s">
        <v>130</v>
      </c>
      <c r="Q82" s="16" t="s">
        <v>82</v>
      </c>
      <c r="R82" s="4"/>
      <c r="S82" s="4" t="s">
        <v>231</v>
      </c>
      <c r="T82" s="1" t="s">
        <v>230</v>
      </c>
      <c r="U82" s="41" t="s">
        <v>231</v>
      </c>
    </row>
    <row r="83" spans="1:21" ht="38.4" customHeight="1" x14ac:dyDescent="0.25">
      <c r="A83" s="2">
        <v>169</v>
      </c>
      <c r="B83" s="18" t="s">
        <v>131</v>
      </c>
      <c r="C83" s="65" t="s">
        <v>351</v>
      </c>
      <c r="D83" s="3" t="s">
        <v>729</v>
      </c>
      <c r="E83" s="103" t="s">
        <v>734</v>
      </c>
      <c r="F83" s="1" t="s">
        <v>40</v>
      </c>
      <c r="G83" s="1"/>
      <c r="H83" s="1"/>
      <c r="I83" s="1"/>
      <c r="J83" s="57" t="s">
        <v>100</v>
      </c>
      <c r="K83" s="71" t="e">
        <f t="shared" si="4"/>
        <v>#VALUE!</v>
      </c>
      <c r="L83" s="4" t="s">
        <v>100</v>
      </c>
      <c r="M83" s="8" t="str">
        <f t="shared" si="5"/>
        <v>PEN</v>
      </c>
      <c r="N83" s="10" t="e">
        <f t="shared" ca="1" si="6"/>
        <v>#VALUE!</v>
      </c>
      <c r="O83" s="4"/>
      <c r="P83" s="8" t="s">
        <v>130</v>
      </c>
      <c r="Q83" s="16" t="s">
        <v>82</v>
      </c>
      <c r="R83" s="4" t="s">
        <v>204</v>
      </c>
      <c r="S83" s="4" t="s">
        <v>230</v>
      </c>
      <c r="T83" s="1" t="s">
        <v>231</v>
      </c>
      <c r="U83" s="41" t="s">
        <v>230</v>
      </c>
    </row>
    <row r="84" spans="1:21" ht="38.4" customHeight="1" x14ac:dyDescent="0.25">
      <c r="A84" s="2">
        <v>177</v>
      </c>
      <c r="B84" s="18" t="s">
        <v>132</v>
      </c>
      <c r="C84" s="65" t="s">
        <v>352</v>
      </c>
      <c r="D84" s="3" t="s">
        <v>730</v>
      </c>
      <c r="E84" s="103" t="s">
        <v>735</v>
      </c>
      <c r="F84" s="1" t="s">
        <v>40</v>
      </c>
      <c r="G84" s="1"/>
      <c r="H84" s="1"/>
      <c r="I84" s="1"/>
      <c r="J84" s="57" t="s">
        <v>100</v>
      </c>
      <c r="K84" s="71" t="e">
        <f t="shared" si="4"/>
        <v>#VALUE!</v>
      </c>
      <c r="L84" s="4" t="s">
        <v>100</v>
      </c>
      <c r="M84" s="8" t="str">
        <f t="shared" si="5"/>
        <v>PEN</v>
      </c>
      <c r="N84" s="10" t="e">
        <f t="shared" ca="1" si="6"/>
        <v>#VALUE!</v>
      </c>
      <c r="O84" s="4"/>
      <c r="P84" s="8" t="s">
        <v>130</v>
      </c>
      <c r="Q84" s="16" t="s">
        <v>82</v>
      </c>
      <c r="R84" s="4" t="s">
        <v>204</v>
      </c>
      <c r="S84" s="4" t="s">
        <v>230</v>
      </c>
      <c r="T84" s="1" t="s">
        <v>231</v>
      </c>
      <c r="U84" s="41" t="s">
        <v>230</v>
      </c>
    </row>
    <row r="85" spans="1:21" ht="38.4" customHeight="1" x14ac:dyDescent="0.25">
      <c r="A85" s="2">
        <v>738</v>
      </c>
      <c r="B85" s="18" t="s">
        <v>133</v>
      </c>
      <c r="C85" s="65" t="s">
        <v>353</v>
      </c>
      <c r="D85" s="3" t="s">
        <v>707</v>
      </c>
      <c r="E85" s="103" t="s">
        <v>665</v>
      </c>
      <c r="F85" s="1" t="s">
        <v>77</v>
      </c>
      <c r="G85" s="1"/>
      <c r="H85" s="1"/>
      <c r="I85" s="1"/>
      <c r="J85" s="57">
        <v>45698</v>
      </c>
      <c r="K85" s="71">
        <f t="shared" si="4"/>
        <v>46063</v>
      </c>
      <c r="L85" s="4">
        <v>12</v>
      </c>
      <c r="M85" s="8" t="str">
        <f t="shared" si="5"/>
        <v>PEN</v>
      </c>
      <c r="N85" s="10" t="str">
        <f t="shared" ca="1" si="6"/>
        <v>NÃO</v>
      </c>
      <c r="O85" s="4"/>
      <c r="P85" s="8" t="s">
        <v>130</v>
      </c>
      <c r="Q85" s="16" t="s">
        <v>82</v>
      </c>
      <c r="R85" s="4" t="s">
        <v>204</v>
      </c>
      <c r="S85" s="4" t="s">
        <v>231</v>
      </c>
      <c r="T85" s="1" t="s">
        <v>231</v>
      </c>
      <c r="U85" s="41" t="s">
        <v>230</v>
      </c>
    </row>
    <row r="86" spans="1:21" ht="38.4" customHeight="1" x14ac:dyDescent="0.25">
      <c r="A86" s="2">
        <v>727</v>
      </c>
      <c r="B86" s="18" t="s">
        <v>135</v>
      </c>
      <c r="C86" s="65" t="s">
        <v>354</v>
      </c>
      <c r="D86" s="3" t="s">
        <v>737</v>
      </c>
      <c r="E86" s="103" t="s">
        <v>665</v>
      </c>
      <c r="F86" s="1" t="s">
        <v>77</v>
      </c>
      <c r="G86" s="1"/>
      <c r="H86" s="1"/>
      <c r="I86" s="1"/>
      <c r="J86" s="57">
        <v>45698</v>
      </c>
      <c r="K86" s="71">
        <f t="shared" si="4"/>
        <v>46063</v>
      </c>
      <c r="L86" s="4">
        <v>12</v>
      </c>
      <c r="M86" s="8" t="str">
        <f t="shared" si="5"/>
        <v>PEN</v>
      </c>
      <c r="N86" s="10" t="str">
        <f t="shared" ca="1" si="6"/>
        <v>NÃO</v>
      </c>
      <c r="O86" s="4"/>
      <c r="P86" s="8" t="s">
        <v>130</v>
      </c>
      <c r="Q86" s="16" t="s">
        <v>82</v>
      </c>
      <c r="R86" s="4" t="s">
        <v>204</v>
      </c>
      <c r="S86" s="4" t="s">
        <v>231</v>
      </c>
      <c r="T86" s="1" t="s">
        <v>231</v>
      </c>
      <c r="U86" s="41" t="s">
        <v>230</v>
      </c>
    </row>
    <row r="87" spans="1:21" ht="38.4" customHeight="1" x14ac:dyDescent="0.25">
      <c r="A87" s="2">
        <v>190</v>
      </c>
      <c r="B87" s="18" t="s">
        <v>134</v>
      </c>
      <c r="C87" s="65" t="s">
        <v>355</v>
      </c>
      <c r="D87" s="3" t="s">
        <v>731</v>
      </c>
      <c r="E87" s="103" t="s">
        <v>736</v>
      </c>
      <c r="F87" s="1" t="s">
        <v>78</v>
      </c>
      <c r="G87" s="1"/>
      <c r="H87" s="1"/>
      <c r="I87" s="1"/>
      <c r="J87" s="57" t="s">
        <v>100</v>
      </c>
      <c r="K87" s="71" t="e">
        <f t="shared" si="4"/>
        <v>#VALUE!</v>
      </c>
      <c r="L87" s="4" t="s">
        <v>100</v>
      </c>
      <c r="M87" s="8" t="str">
        <f t="shared" si="5"/>
        <v>PEN</v>
      </c>
      <c r="N87" s="10" t="e">
        <f t="shared" ca="1" si="6"/>
        <v>#VALUE!</v>
      </c>
      <c r="O87" s="4"/>
      <c r="P87" s="8" t="s">
        <v>130</v>
      </c>
      <c r="Q87" s="16" t="s">
        <v>82</v>
      </c>
      <c r="R87" s="4" t="s">
        <v>204</v>
      </c>
      <c r="S87" s="4" t="s">
        <v>230</v>
      </c>
      <c r="T87" s="1" t="s">
        <v>231</v>
      </c>
      <c r="U87" s="41" t="s">
        <v>230</v>
      </c>
    </row>
    <row r="88" spans="1:21" ht="38.4" customHeight="1" x14ac:dyDescent="0.25">
      <c r="A88" s="2">
        <v>1493</v>
      </c>
      <c r="B88" s="18" t="s">
        <v>136</v>
      </c>
      <c r="C88" s="65" t="s">
        <v>356</v>
      </c>
      <c r="D88" s="3" t="s">
        <v>738</v>
      </c>
      <c r="E88" s="103" t="s">
        <v>739</v>
      </c>
      <c r="F88" s="1" t="s">
        <v>78</v>
      </c>
      <c r="G88" s="1"/>
      <c r="H88" s="1"/>
      <c r="I88" s="1"/>
      <c r="J88" s="57" t="s">
        <v>100</v>
      </c>
      <c r="K88" s="71" t="e">
        <f t="shared" si="4"/>
        <v>#VALUE!</v>
      </c>
      <c r="L88" s="4" t="s">
        <v>100</v>
      </c>
      <c r="M88" s="8" t="str">
        <f t="shared" si="5"/>
        <v>PEN</v>
      </c>
      <c r="N88" s="10" t="e">
        <f t="shared" ca="1" si="6"/>
        <v>#VALUE!</v>
      </c>
      <c r="O88" s="4"/>
      <c r="P88" s="8" t="s">
        <v>130</v>
      </c>
      <c r="Q88" s="16" t="s">
        <v>83</v>
      </c>
      <c r="R88" s="4"/>
      <c r="S88" s="4" t="s">
        <v>230</v>
      </c>
      <c r="T88" s="1" t="s">
        <v>231</v>
      </c>
      <c r="U88" s="41" t="s">
        <v>230</v>
      </c>
    </row>
    <row r="89" spans="1:21" ht="38.4" customHeight="1" x14ac:dyDescent="0.25">
      <c r="A89" s="2">
        <v>811</v>
      </c>
      <c r="B89" s="18" t="s">
        <v>137</v>
      </c>
      <c r="C89" s="65" t="s">
        <v>357</v>
      </c>
      <c r="D89" s="3" t="s">
        <v>740</v>
      </c>
      <c r="E89" s="103" t="s">
        <v>665</v>
      </c>
      <c r="F89" s="1" t="s">
        <v>78</v>
      </c>
      <c r="G89" s="1"/>
      <c r="H89" s="1"/>
      <c r="I89" s="1"/>
      <c r="J89" s="57" t="s">
        <v>100</v>
      </c>
      <c r="K89" s="71" t="e">
        <f t="shared" si="4"/>
        <v>#VALUE!</v>
      </c>
      <c r="L89" s="4" t="s">
        <v>100</v>
      </c>
      <c r="M89" s="8" t="str">
        <f t="shared" si="5"/>
        <v>PEN</v>
      </c>
      <c r="N89" s="10" t="e">
        <f t="shared" ca="1" si="6"/>
        <v>#VALUE!</v>
      </c>
      <c r="O89" s="4"/>
      <c r="P89" s="8" t="s">
        <v>130</v>
      </c>
      <c r="Q89" s="16" t="s">
        <v>83</v>
      </c>
      <c r="R89" s="4"/>
      <c r="S89" s="4" t="s">
        <v>230</v>
      </c>
      <c r="T89" s="1" t="s">
        <v>231</v>
      </c>
      <c r="U89" s="41" t="s">
        <v>230</v>
      </c>
    </row>
    <row r="90" spans="1:21" ht="38.4" customHeight="1" x14ac:dyDescent="0.25">
      <c r="A90" s="2">
        <v>82</v>
      </c>
      <c r="B90" s="18" t="s">
        <v>22</v>
      </c>
      <c r="C90" s="65" t="s">
        <v>358</v>
      </c>
      <c r="D90" s="3" t="s">
        <v>741</v>
      </c>
      <c r="E90" s="103" t="s">
        <v>742</v>
      </c>
      <c r="F90" s="1" t="s">
        <v>221</v>
      </c>
      <c r="G90" s="1"/>
      <c r="H90" s="1"/>
      <c r="I90" s="1"/>
      <c r="J90" s="57" t="s">
        <v>100</v>
      </c>
      <c r="K90" s="71" t="e">
        <f t="shared" si="4"/>
        <v>#VALUE!</v>
      </c>
      <c r="L90" s="4" t="s">
        <v>100</v>
      </c>
      <c r="M90" s="8" t="str">
        <f t="shared" si="5"/>
        <v>BAL</v>
      </c>
      <c r="N90" s="10" t="e">
        <f t="shared" ca="1" si="6"/>
        <v>#VALUE!</v>
      </c>
      <c r="O90" s="4"/>
      <c r="P90" s="8" t="s">
        <v>130</v>
      </c>
      <c r="Q90" s="16" t="s">
        <v>82</v>
      </c>
      <c r="R90" s="4"/>
      <c r="S90" s="4" t="s">
        <v>230</v>
      </c>
      <c r="T90" s="1" t="s">
        <v>231</v>
      </c>
      <c r="U90" s="41" t="s">
        <v>230</v>
      </c>
    </row>
    <row r="91" spans="1:21" ht="38.4" customHeight="1" x14ac:dyDescent="0.25">
      <c r="A91" s="2">
        <v>1015</v>
      </c>
      <c r="B91" s="18" t="s">
        <v>177</v>
      </c>
      <c r="C91" s="65" t="s">
        <v>359</v>
      </c>
      <c r="D91" s="3" t="s">
        <v>743</v>
      </c>
      <c r="E91" s="103" t="s">
        <v>745</v>
      </c>
      <c r="F91" s="1" t="s">
        <v>77</v>
      </c>
      <c r="G91" s="1"/>
      <c r="H91" s="1"/>
      <c r="I91" s="1"/>
      <c r="J91" s="57" t="s">
        <v>100</v>
      </c>
      <c r="K91" s="71" t="e">
        <f t="shared" ref="K91:K122" si="7">IF(J91="-",IF(L91="-","FORA DE USO","CALIBRAR"),IF(L91="-","FORA DE USO",EDATE(J91,L91)))</f>
        <v>#VALUE!</v>
      </c>
      <c r="L91" s="4" t="s">
        <v>100</v>
      </c>
      <c r="M91" s="8" t="str">
        <f t="shared" si="5"/>
        <v>PEN</v>
      </c>
      <c r="N91" s="10" t="e">
        <f t="shared" ca="1" si="6"/>
        <v>#VALUE!</v>
      </c>
      <c r="O91" s="4"/>
      <c r="P91" s="8" t="s">
        <v>130</v>
      </c>
      <c r="Q91" s="16" t="s">
        <v>82</v>
      </c>
      <c r="R91" s="4" t="s">
        <v>204</v>
      </c>
      <c r="S91" s="4" t="s">
        <v>230</v>
      </c>
      <c r="T91" s="1" t="s">
        <v>231</v>
      </c>
      <c r="U91" s="41" t="s">
        <v>230</v>
      </c>
    </row>
    <row r="92" spans="1:21" ht="38.4" customHeight="1" x14ac:dyDescent="0.25">
      <c r="A92" s="2">
        <v>1320</v>
      </c>
      <c r="B92" s="18" t="s">
        <v>138</v>
      </c>
      <c r="C92" s="65" t="s">
        <v>360</v>
      </c>
      <c r="D92" s="3" t="s">
        <v>746</v>
      </c>
      <c r="E92" s="103" t="s">
        <v>747</v>
      </c>
      <c r="F92" s="1" t="s">
        <v>77</v>
      </c>
      <c r="G92" s="1"/>
      <c r="H92" s="1"/>
      <c r="I92" s="1"/>
      <c r="J92" s="57">
        <v>45830</v>
      </c>
      <c r="K92" s="71">
        <f t="shared" si="7"/>
        <v>46195</v>
      </c>
      <c r="L92" s="4">
        <v>12</v>
      </c>
      <c r="M92" s="8" t="str">
        <f t="shared" si="5"/>
        <v>PEN</v>
      </c>
      <c r="N92" s="10" t="str">
        <f t="shared" ca="1" si="6"/>
        <v>NÃO</v>
      </c>
      <c r="O92" s="4"/>
      <c r="P92" s="8" t="s">
        <v>130</v>
      </c>
      <c r="Q92" s="16" t="s">
        <v>82</v>
      </c>
      <c r="R92" s="4" t="s">
        <v>204</v>
      </c>
      <c r="S92" s="4" t="s">
        <v>231</v>
      </c>
      <c r="T92" s="1" t="s">
        <v>231</v>
      </c>
      <c r="U92" s="41" t="s">
        <v>230</v>
      </c>
    </row>
    <row r="93" spans="1:21" ht="38.4" customHeight="1" x14ac:dyDescent="0.25">
      <c r="A93" s="2">
        <v>1018</v>
      </c>
      <c r="B93" s="18" t="s">
        <v>242</v>
      </c>
      <c r="C93" s="65" t="s">
        <v>361</v>
      </c>
      <c r="D93" s="3" t="s">
        <v>744</v>
      </c>
      <c r="E93" s="103" t="s">
        <v>748</v>
      </c>
      <c r="F93" s="1" t="s">
        <v>77</v>
      </c>
      <c r="G93" s="1"/>
      <c r="H93" s="1"/>
      <c r="I93" s="1"/>
      <c r="J93" s="57" t="s">
        <v>100</v>
      </c>
      <c r="K93" s="71" t="e">
        <f t="shared" si="7"/>
        <v>#VALUE!</v>
      </c>
      <c r="L93" s="4" t="s">
        <v>100</v>
      </c>
      <c r="M93" s="8" t="str">
        <f t="shared" si="5"/>
        <v>PEN</v>
      </c>
      <c r="N93" s="10" t="e">
        <f t="shared" ca="1" si="6"/>
        <v>#VALUE!</v>
      </c>
      <c r="O93" s="4"/>
      <c r="P93" s="8" t="s">
        <v>130</v>
      </c>
      <c r="Q93" s="16" t="s">
        <v>82</v>
      </c>
      <c r="R93" s="4" t="s">
        <v>204</v>
      </c>
      <c r="S93" s="4" t="s">
        <v>230</v>
      </c>
      <c r="T93" s="1" t="s">
        <v>231</v>
      </c>
      <c r="U93" s="41" t="s">
        <v>230</v>
      </c>
    </row>
    <row r="94" spans="1:21" ht="38.4" customHeight="1" x14ac:dyDescent="0.25">
      <c r="A94" s="2">
        <v>1030</v>
      </c>
      <c r="B94" s="18" t="s">
        <v>139</v>
      </c>
      <c r="C94" s="65" t="s">
        <v>362</v>
      </c>
      <c r="D94" s="3" t="s">
        <v>749</v>
      </c>
      <c r="E94" s="103" t="s">
        <v>750</v>
      </c>
      <c r="F94" s="1" t="s">
        <v>77</v>
      </c>
      <c r="G94" s="1"/>
      <c r="H94" s="1"/>
      <c r="I94" s="1"/>
      <c r="J94" s="57" t="s">
        <v>100</v>
      </c>
      <c r="K94" s="71" t="e">
        <f t="shared" si="7"/>
        <v>#VALUE!</v>
      </c>
      <c r="L94" s="4" t="s">
        <v>100</v>
      </c>
      <c r="M94" s="8" t="str">
        <f t="shared" si="5"/>
        <v>PEN</v>
      </c>
      <c r="N94" s="10" t="e">
        <f t="shared" ca="1" si="6"/>
        <v>#VALUE!</v>
      </c>
      <c r="O94" s="4"/>
      <c r="P94" s="8" t="s">
        <v>130</v>
      </c>
      <c r="Q94" s="16" t="s">
        <v>82</v>
      </c>
      <c r="R94" s="4" t="s">
        <v>204</v>
      </c>
      <c r="S94" s="4" t="s">
        <v>230</v>
      </c>
      <c r="T94" s="1" t="s">
        <v>231</v>
      </c>
      <c r="U94" s="41" t="s">
        <v>230</v>
      </c>
    </row>
    <row r="95" spans="1:21" ht="38.4" customHeight="1" x14ac:dyDescent="0.25">
      <c r="A95" s="2">
        <v>1020</v>
      </c>
      <c r="B95" s="18" t="s">
        <v>140</v>
      </c>
      <c r="C95" s="65" t="s">
        <v>363</v>
      </c>
      <c r="D95" s="3" t="s">
        <v>751</v>
      </c>
      <c r="E95" s="103" t="s">
        <v>752</v>
      </c>
      <c r="F95" s="1" t="s">
        <v>77</v>
      </c>
      <c r="G95" s="1"/>
      <c r="H95" s="1"/>
      <c r="I95" s="1"/>
      <c r="J95" s="57" t="s">
        <v>100</v>
      </c>
      <c r="K95" s="71" t="e">
        <f t="shared" si="7"/>
        <v>#VALUE!</v>
      </c>
      <c r="L95" s="4" t="s">
        <v>100</v>
      </c>
      <c r="M95" s="8" t="str">
        <f t="shared" si="5"/>
        <v>PEN</v>
      </c>
      <c r="N95" s="10" t="e">
        <f t="shared" ca="1" si="6"/>
        <v>#VALUE!</v>
      </c>
      <c r="O95" s="4"/>
      <c r="P95" s="8" t="s">
        <v>130</v>
      </c>
      <c r="Q95" s="16" t="s">
        <v>82</v>
      </c>
      <c r="R95" s="4" t="s">
        <v>204</v>
      </c>
      <c r="S95" s="4" t="s">
        <v>230</v>
      </c>
      <c r="T95" s="1" t="s">
        <v>231</v>
      </c>
      <c r="U95" s="41" t="s">
        <v>230</v>
      </c>
    </row>
    <row r="96" spans="1:21" ht="38.4" customHeight="1" x14ac:dyDescent="0.25">
      <c r="A96" s="2">
        <v>1419</v>
      </c>
      <c r="B96" s="18" t="s">
        <v>141</v>
      </c>
      <c r="C96" s="66" t="s">
        <v>364</v>
      </c>
      <c r="D96" s="3" t="s">
        <v>705</v>
      </c>
      <c r="E96" s="103" t="s">
        <v>753</v>
      </c>
      <c r="F96" s="1" t="s">
        <v>78</v>
      </c>
      <c r="G96" s="1"/>
      <c r="H96" s="1"/>
      <c r="I96" s="1"/>
      <c r="J96" s="57">
        <v>45830</v>
      </c>
      <c r="K96" s="71">
        <f t="shared" si="7"/>
        <v>46195</v>
      </c>
      <c r="L96" s="4">
        <v>12</v>
      </c>
      <c r="M96" s="8" t="str">
        <f t="shared" si="5"/>
        <v>PEN</v>
      </c>
      <c r="N96" s="10" t="str">
        <f t="shared" ca="1" si="6"/>
        <v>NÃO</v>
      </c>
      <c r="O96" s="4"/>
      <c r="P96" s="8" t="s">
        <v>130</v>
      </c>
      <c r="Q96" s="16" t="s">
        <v>83</v>
      </c>
      <c r="R96" s="4"/>
      <c r="S96" s="4" t="s">
        <v>231</v>
      </c>
      <c r="T96" s="1" t="s">
        <v>231</v>
      </c>
      <c r="U96" s="41" t="s">
        <v>230</v>
      </c>
    </row>
    <row r="97" spans="1:21" ht="38.4" customHeight="1" x14ac:dyDescent="0.25">
      <c r="A97" s="2">
        <v>76</v>
      </c>
      <c r="B97" s="18" t="s">
        <v>17</v>
      </c>
      <c r="C97" s="65" t="s">
        <v>358</v>
      </c>
      <c r="D97" s="3" t="s">
        <v>741</v>
      </c>
      <c r="E97" s="103" t="s">
        <v>754</v>
      </c>
      <c r="F97" s="1" t="s">
        <v>221</v>
      </c>
      <c r="G97" s="1"/>
      <c r="H97" s="1"/>
      <c r="I97" s="1"/>
      <c r="J97" s="57">
        <v>45812</v>
      </c>
      <c r="K97" s="71">
        <f t="shared" si="7"/>
        <v>46177</v>
      </c>
      <c r="L97" s="4">
        <v>12</v>
      </c>
      <c r="M97" s="8" t="str">
        <f t="shared" si="5"/>
        <v>BAL</v>
      </c>
      <c r="N97" s="10" t="str">
        <f t="shared" ca="1" si="6"/>
        <v>NÃO</v>
      </c>
      <c r="O97" s="4"/>
      <c r="P97" s="8" t="s">
        <v>130</v>
      </c>
      <c r="Q97" s="16" t="s">
        <v>82</v>
      </c>
      <c r="R97" s="4"/>
      <c r="S97" s="4" t="s">
        <v>231</v>
      </c>
      <c r="T97" s="1" t="s">
        <v>231</v>
      </c>
      <c r="U97" s="41" t="s">
        <v>230</v>
      </c>
    </row>
    <row r="98" spans="1:21" ht="38.4" customHeight="1" x14ac:dyDescent="0.25">
      <c r="A98" s="2">
        <v>77</v>
      </c>
      <c r="B98" s="18" t="s">
        <v>18</v>
      </c>
      <c r="C98" s="65" t="s">
        <v>365</v>
      </c>
      <c r="D98" s="3" t="s">
        <v>741</v>
      </c>
      <c r="E98" s="103" t="s">
        <v>755</v>
      </c>
      <c r="F98" s="1" t="s">
        <v>221</v>
      </c>
      <c r="G98" s="1"/>
      <c r="H98" s="1"/>
      <c r="I98" s="1"/>
      <c r="J98" s="57">
        <v>45812</v>
      </c>
      <c r="K98" s="71">
        <f t="shared" si="7"/>
        <v>46177</v>
      </c>
      <c r="L98" s="4">
        <v>12</v>
      </c>
      <c r="M98" s="8" t="str">
        <f t="shared" si="5"/>
        <v>BAL</v>
      </c>
      <c r="N98" s="10" t="str">
        <f t="shared" ca="1" si="6"/>
        <v>NÃO</v>
      </c>
      <c r="O98" s="4"/>
      <c r="P98" s="8" t="s">
        <v>130</v>
      </c>
      <c r="Q98" s="16" t="s">
        <v>82</v>
      </c>
      <c r="R98" s="4"/>
      <c r="S98" s="4" t="s">
        <v>231</v>
      </c>
      <c r="T98" s="1" t="s">
        <v>231</v>
      </c>
      <c r="U98" s="41" t="s">
        <v>230</v>
      </c>
    </row>
    <row r="99" spans="1:21" ht="38.4" customHeight="1" x14ac:dyDescent="0.25">
      <c r="A99" s="2">
        <v>809</v>
      </c>
      <c r="B99" s="18" t="s">
        <v>142</v>
      </c>
      <c r="C99" s="65" t="s">
        <v>357</v>
      </c>
      <c r="D99" s="3" t="s">
        <v>740</v>
      </c>
      <c r="E99" s="103" t="s">
        <v>665</v>
      </c>
      <c r="F99" s="1" t="s">
        <v>78</v>
      </c>
      <c r="G99" s="1"/>
      <c r="H99" s="1"/>
      <c r="I99" s="1"/>
      <c r="J99" s="57" t="s">
        <v>100</v>
      </c>
      <c r="K99" s="71" t="e">
        <f t="shared" si="7"/>
        <v>#VALUE!</v>
      </c>
      <c r="L99" s="4" t="s">
        <v>100</v>
      </c>
      <c r="M99" s="8" t="str">
        <f t="shared" si="5"/>
        <v>PEN</v>
      </c>
      <c r="N99" s="10" t="e">
        <f t="shared" ca="1" si="6"/>
        <v>#VALUE!</v>
      </c>
      <c r="O99" s="4"/>
      <c r="P99" s="8" t="s">
        <v>130</v>
      </c>
      <c r="Q99" s="16" t="s">
        <v>83</v>
      </c>
      <c r="R99" s="4"/>
      <c r="S99" s="4" t="s">
        <v>230</v>
      </c>
      <c r="T99" s="1" t="s">
        <v>231</v>
      </c>
      <c r="U99" s="41" t="s">
        <v>230</v>
      </c>
    </row>
    <row r="100" spans="1:21" ht="38.4" customHeight="1" x14ac:dyDescent="0.25">
      <c r="A100" s="2">
        <v>1047</v>
      </c>
      <c r="B100" s="18" t="s">
        <v>143</v>
      </c>
      <c r="C100" s="65" t="s">
        <v>366</v>
      </c>
      <c r="D100" s="3" t="s">
        <v>756</v>
      </c>
      <c r="E100" s="103" t="s">
        <v>757</v>
      </c>
      <c r="F100" s="1"/>
      <c r="G100" s="1"/>
      <c r="H100" s="1"/>
      <c r="I100" s="1"/>
      <c r="J100" s="57" t="s">
        <v>100</v>
      </c>
      <c r="K100" s="71" t="e">
        <f t="shared" si="7"/>
        <v>#VALUE!</v>
      </c>
      <c r="L100" s="4" t="s">
        <v>100</v>
      </c>
      <c r="M100" s="8" t="str">
        <f t="shared" si="5"/>
        <v>PEN</v>
      </c>
      <c r="N100" s="10" t="e">
        <f t="shared" ca="1" si="6"/>
        <v>#VALUE!</v>
      </c>
      <c r="O100" s="4"/>
      <c r="P100" s="8" t="s">
        <v>130</v>
      </c>
      <c r="Q100" s="16" t="s">
        <v>82</v>
      </c>
      <c r="R100" s="4"/>
      <c r="S100" s="4" t="s">
        <v>230</v>
      </c>
      <c r="T100" s="1" t="s">
        <v>230</v>
      </c>
      <c r="U100" s="41" t="s">
        <v>231</v>
      </c>
    </row>
    <row r="101" spans="1:21" ht="38.4" customHeight="1" x14ac:dyDescent="0.25">
      <c r="A101" s="2">
        <v>1013</v>
      </c>
      <c r="B101" s="18" t="s">
        <v>144</v>
      </c>
      <c r="C101" s="65" t="s">
        <v>367</v>
      </c>
      <c r="D101" s="3" t="s">
        <v>758</v>
      </c>
      <c r="E101" s="103" t="s">
        <v>759</v>
      </c>
      <c r="F101" s="1" t="s">
        <v>77</v>
      </c>
      <c r="G101" s="1"/>
      <c r="H101" s="1"/>
      <c r="I101" s="1"/>
      <c r="J101" s="57" t="s">
        <v>100</v>
      </c>
      <c r="K101" s="71" t="e">
        <f t="shared" si="7"/>
        <v>#VALUE!</v>
      </c>
      <c r="L101" s="4" t="s">
        <v>100</v>
      </c>
      <c r="M101" s="8" t="str">
        <f t="shared" si="5"/>
        <v>PEN</v>
      </c>
      <c r="N101" s="10" t="e">
        <f t="shared" ca="1" si="6"/>
        <v>#VALUE!</v>
      </c>
      <c r="O101" s="4"/>
      <c r="P101" s="8" t="s">
        <v>130</v>
      </c>
      <c r="Q101" s="16" t="s">
        <v>83</v>
      </c>
      <c r="R101" s="4"/>
      <c r="S101" s="4" t="s">
        <v>230</v>
      </c>
      <c r="T101" s="1" t="s">
        <v>231</v>
      </c>
      <c r="U101" s="41" t="s">
        <v>230</v>
      </c>
    </row>
    <row r="102" spans="1:21" ht="38.4" customHeight="1" x14ac:dyDescent="0.25">
      <c r="A102" s="2">
        <v>1354</v>
      </c>
      <c r="B102" s="18" t="s">
        <v>145</v>
      </c>
      <c r="C102" s="65" t="s">
        <v>368</v>
      </c>
      <c r="D102" s="3" t="s">
        <v>760</v>
      </c>
      <c r="E102" s="103" t="s">
        <v>665</v>
      </c>
      <c r="F102" s="1" t="s">
        <v>216</v>
      </c>
      <c r="G102" s="1"/>
      <c r="H102" s="1"/>
      <c r="I102" s="1"/>
      <c r="J102" s="57">
        <v>45637</v>
      </c>
      <c r="K102" s="71">
        <f t="shared" si="7"/>
        <v>46002</v>
      </c>
      <c r="L102" s="4">
        <v>12</v>
      </c>
      <c r="M102" s="8" t="str">
        <f t="shared" si="5"/>
        <v>PEN</v>
      </c>
      <c r="N102" s="10" t="str">
        <f t="shared" ca="1" si="6"/>
        <v>NÃO</v>
      </c>
      <c r="O102" s="4"/>
      <c r="P102" s="8" t="s">
        <v>130</v>
      </c>
      <c r="Q102" s="16" t="s">
        <v>82</v>
      </c>
      <c r="R102" s="4" t="s">
        <v>204</v>
      </c>
      <c r="S102" s="4" t="s">
        <v>231</v>
      </c>
      <c r="T102" s="1" t="s">
        <v>231</v>
      </c>
      <c r="U102" s="41" t="s">
        <v>230</v>
      </c>
    </row>
    <row r="103" spans="1:21" ht="38.4" customHeight="1" x14ac:dyDescent="0.25">
      <c r="A103" s="2">
        <v>1358</v>
      </c>
      <c r="B103" s="18" t="s">
        <v>146</v>
      </c>
      <c r="C103" s="65" t="s">
        <v>369</v>
      </c>
      <c r="D103" s="3" t="s">
        <v>761</v>
      </c>
      <c r="E103" s="103" t="s">
        <v>665</v>
      </c>
      <c r="F103" s="1" t="s">
        <v>216</v>
      </c>
      <c r="G103" s="1"/>
      <c r="H103" s="1"/>
      <c r="I103" s="1"/>
      <c r="J103" s="57">
        <v>45635</v>
      </c>
      <c r="K103" s="71">
        <f t="shared" si="7"/>
        <v>46000</v>
      </c>
      <c r="L103" s="4">
        <v>12</v>
      </c>
      <c r="M103" s="8" t="str">
        <f t="shared" si="5"/>
        <v>PEN</v>
      </c>
      <c r="N103" s="10" t="str">
        <f t="shared" ca="1" si="6"/>
        <v>NÃO</v>
      </c>
      <c r="O103" s="4"/>
      <c r="P103" s="8" t="s">
        <v>130</v>
      </c>
      <c r="Q103" s="16" t="s">
        <v>82</v>
      </c>
      <c r="R103" s="4" t="s">
        <v>204</v>
      </c>
      <c r="S103" s="4" t="s">
        <v>231</v>
      </c>
      <c r="T103" s="1" t="s">
        <v>231</v>
      </c>
      <c r="U103" s="41" t="s">
        <v>230</v>
      </c>
    </row>
    <row r="104" spans="1:21" ht="38.4" customHeight="1" x14ac:dyDescent="0.25">
      <c r="A104" s="2">
        <v>1421</v>
      </c>
      <c r="B104" s="18" t="s">
        <v>147</v>
      </c>
      <c r="C104" s="65" t="s">
        <v>370</v>
      </c>
      <c r="D104" s="3" t="s">
        <v>705</v>
      </c>
      <c r="E104" s="103" t="s">
        <v>762</v>
      </c>
      <c r="F104" s="1" t="s">
        <v>78</v>
      </c>
      <c r="G104" s="1"/>
      <c r="H104" s="1"/>
      <c r="I104" s="1"/>
      <c r="J104" s="57" t="s">
        <v>100</v>
      </c>
      <c r="K104" s="71" t="e">
        <f t="shared" si="7"/>
        <v>#VALUE!</v>
      </c>
      <c r="L104" s="4" t="s">
        <v>100</v>
      </c>
      <c r="M104" s="8" t="str">
        <f t="shared" si="5"/>
        <v>PEN</v>
      </c>
      <c r="N104" s="10" t="e">
        <f t="shared" ca="1" si="6"/>
        <v>#VALUE!</v>
      </c>
      <c r="O104" s="4"/>
      <c r="P104" s="8" t="s">
        <v>130</v>
      </c>
      <c r="Q104" s="16" t="s">
        <v>82</v>
      </c>
      <c r="R104" s="4" t="s">
        <v>204</v>
      </c>
      <c r="S104" s="4" t="s">
        <v>230</v>
      </c>
      <c r="T104" s="1" t="s">
        <v>231</v>
      </c>
      <c r="U104" s="41" t="s">
        <v>230</v>
      </c>
    </row>
    <row r="105" spans="1:21" ht="38.4" customHeight="1" x14ac:dyDescent="0.25">
      <c r="A105" s="2">
        <v>1318</v>
      </c>
      <c r="B105" s="18" t="s">
        <v>148</v>
      </c>
      <c r="C105" s="65" t="s">
        <v>371</v>
      </c>
      <c r="D105" s="3" t="s">
        <v>707</v>
      </c>
      <c r="E105" s="103" t="s">
        <v>763</v>
      </c>
      <c r="F105" s="1" t="s">
        <v>77</v>
      </c>
      <c r="G105" s="1"/>
      <c r="H105" s="1"/>
      <c r="I105" s="1"/>
      <c r="J105" s="57">
        <v>45789</v>
      </c>
      <c r="K105" s="71">
        <f t="shared" si="7"/>
        <v>46154</v>
      </c>
      <c r="L105" s="4">
        <v>12</v>
      </c>
      <c r="M105" s="8" t="str">
        <f t="shared" si="5"/>
        <v>PEN</v>
      </c>
      <c r="N105" s="10" t="str">
        <f t="shared" ca="1" si="6"/>
        <v>NÃO</v>
      </c>
      <c r="O105" s="4"/>
      <c r="P105" s="8" t="s">
        <v>130</v>
      </c>
      <c r="Q105" s="16" t="s">
        <v>83</v>
      </c>
      <c r="R105" s="4"/>
      <c r="S105" s="4" t="s">
        <v>231</v>
      </c>
      <c r="T105" s="1" t="s">
        <v>231</v>
      </c>
      <c r="U105" s="41" t="s">
        <v>230</v>
      </c>
    </row>
    <row r="106" spans="1:21" ht="38.4" customHeight="1" x14ac:dyDescent="0.25">
      <c r="A106" s="2">
        <v>732</v>
      </c>
      <c r="B106" s="18" t="s">
        <v>149</v>
      </c>
      <c r="C106" s="65" t="s">
        <v>372</v>
      </c>
      <c r="D106" s="3" t="s">
        <v>764</v>
      </c>
      <c r="E106" s="103" t="s">
        <v>665</v>
      </c>
      <c r="F106" s="1" t="s">
        <v>77</v>
      </c>
      <c r="G106" s="1"/>
      <c r="H106" s="1"/>
      <c r="I106" s="1"/>
      <c r="J106" s="57" t="s">
        <v>100</v>
      </c>
      <c r="K106" s="71" t="e">
        <f t="shared" si="7"/>
        <v>#VALUE!</v>
      </c>
      <c r="L106" s="4" t="s">
        <v>100</v>
      </c>
      <c r="M106" s="8" t="str">
        <f t="shared" si="5"/>
        <v>PEN</v>
      </c>
      <c r="N106" s="10" t="e">
        <f t="shared" ca="1" si="6"/>
        <v>#VALUE!</v>
      </c>
      <c r="O106" s="4"/>
      <c r="P106" s="8" t="s">
        <v>130</v>
      </c>
      <c r="Q106" s="16" t="s">
        <v>82</v>
      </c>
      <c r="R106" s="4"/>
      <c r="S106" s="4" t="s">
        <v>230</v>
      </c>
      <c r="T106" s="1" t="s">
        <v>231</v>
      </c>
      <c r="U106" s="41" t="s">
        <v>230</v>
      </c>
    </row>
    <row r="107" spans="1:21" ht="38.4" customHeight="1" x14ac:dyDescent="0.25">
      <c r="A107" s="2">
        <v>1034</v>
      </c>
      <c r="B107" s="18" t="s">
        <v>150</v>
      </c>
      <c r="C107" s="65" t="s">
        <v>373</v>
      </c>
      <c r="D107" s="3" t="s">
        <v>765</v>
      </c>
      <c r="E107" s="103" t="s">
        <v>766</v>
      </c>
      <c r="F107" s="1" t="s">
        <v>77</v>
      </c>
      <c r="G107" s="1"/>
      <c r="H107" s="1"/>
      <c r="I107" s="1"/>
      <c r="J107" s="57" t="s">
        <v>100</v>
      </c>
      <c r="K107" s="71" t="e">
        <f t="shared" si="7"/>
        <v>#VALUE!</v>
      </c>
      <c r="L107" s="4" t="s">
        <v>100</v>
      </c>
      <c r="M107" s="8" t="str">
        <f t="shared" si="5"/>
        <v>PEN</v>
      </c>
      <c r="N107" s="10" t="e">
        <f t="shared" ca="1" si="6"/>
        <v>#VALUE!</v>
      </c>
      <c r="O107" s="4"/>
      <c r="P107" s="8" t="s">
        <v>130</v>
      </c>
      <c r="Q107" s="16" t="s">
        <v>83</v>
      </c>
      <c r="R107" s="4"/>
      <c r="S107" s="4" t="s">
        <v>230</v>
      </c>
      <c r="T107" s="1" t="s">
        <v>231</v>
      </c>
      <c r="U107" s="41" t="s">
        <v>230</v>
      </c>
    </row>
    <row r="108" spans="1:21" ht="38.4" customHeight="1" x14ac:dyDescent="0.25">
      <c r="A108" s="2">
        <v>1027</v>
      </c>
      <c r="B108" s="18" t="s">
        <v>151</v>
      </c>
      <c r="C108" s="65" t="s">
        <v>374</v>
      </c>
      <c r="D108" s="3" t="s">
        <v>767</v>
      </c>
      <c r="E108" s="103" t="s">
        <v>768</v>
      </c>
      <c r="F108" s="1" t="s">
        <v>77</v>
      </c>
      <c r="G108" s="1"/>
      <c r="H108" s="1"/>
      <c r="I108" s="1"/>
      <c r="J108" s="57" t="s">
        <v>100</v>
      </c>
      <c r="K108" s="71" t="e">
        <f t="shared" si="7"/>
        <v>#VALUE!</v>
      </c>
      <c r="L108" s="4" t="s">
        <v>100</v>
      </c>
      <c r="M108" s="8" t="str">
        <f t="shared" si="5"/>
        <v>PEN</v>
      </c>
      <c r="N108" s="10" t="e">
        <f t="shared" ca="1" si="6"/>
        <v>#VALUE!</v>
      </c>
      <c r="O108" s="4"/>
      <c r="P108" s="8" t="s">
        <v>130</v>
      </c>
      <c r="Q108" s="16" t="s">
        <v>82</v>
      </c>
      <c r="R108" s="4"/>
      <c r="S108" s="4" t="s">
        <v>230</v>
      </c>
      <c r="T108" s="1" t="s">
        <v>231</v>
      </c>
      <c r="U108" s="41" t="s">
        <v>230</v>
      </c>
    </row>
    <row r="109" spans="1:21" ht="38.4" customHeight="1" x14ac:dyDescent="0.25">
      <c r="A109" s="2">
        <v>1023</v>
      </c>
      <c r="B109" s="18" t="s">
        <v>152</v>
      </c>
      <c r="C109" s="65" t="s">
        <v>375</v>
      </c>
      <c r="D109" s="3" t="s">
        <v>769</v>
      </c>
      <c r="E109" s="103" t="s">
        <v>770</v>
      </c>
      <c r="F109" s="1" t="s">
        <v>77</v>
      </c>
      <c r="G109" s="1"/>
      <c r="H109" s="1"/>
      <c r="I109" s="1"/>
      <c r="J109" s="57" t="s">
        <v>100</v>
      </c>
      <c r="K109" s="71" t="e">
        <f t="shared" si="7"/>
        <v>#VALUE!</v>
      </c>
      <c r="L109" s="4" t="s">
        <v>100</v>
      </c>
      <c r="M109" s="8" t="str">
        <f t="shared" si="5"/>
        <v>PEN</v>
      </c>
      <c r="N109" s="10" t="e">
        <f t="shared" ca="1" si="6"/>
        <v>#VALUE!</v>
      </c>
      <c r="O109" s="4"/>
      <c r="P109" s="8" t="s">
        <v>130</v>
      </c>
      <c r="Q109" s="16" t="s">
        <v>83</v>
      </c>
      <c r="R109" s="4"/>
      <c r="S109" s="4" t="s">
        <v>230</v>
      </c>
      <c r="T109" s="1" t="s">
        <v>231</v>
      </c>
      <c r="U109" s="41" t="s">
        <v>230</v>
      </c>
    </row>
    <row r="110" spans="1:21" ht="38.4" customHeight="1" x14ac:dyDescent="0.25">
      <c r="A110" s="2">
        <v>731</v>
      </c>
      <c r="B110" s="18" t="s">
        <v>153</v>
      </c>
      <c r="C110" s="65" t="s">
        <v>376</v>
      </c>
      <c r="D110" s="3" t="s">
        <v>771</v>
      </c>
      <c r="E110" s="103" t="s">
        <v>665</v>
      </c>
      <c r="F110" s="1" t="s">
        <v>77</v>
      </c>
      <c r="G110" s="1"/>
      <c r="H110" s="1"/>
      <c r="I110" s="1"/>
      <c r="J110" s="57">
        <v>44883</v>
      </c>
      <c r="K110" s="71">
        <f t="shared" si="7"/>
        <v>45248</v>
      </c>
      <c r="L110" s="4">
        <v>12</v>
      </c>
      <c r="M110" s="8" t="str">
        <f t="shared" si="5"/>
        <v>PEN</v>
      </c>
      <c r="N110" s="10" t="str">
        <f t="shared" ca="1" si="6"/>
        <v>SIM</v>
      </c>
      <c r="O110" s="4"/>
      <c r="P110" s="8" t="s">
        <v>130</v>
      </c>
      <c r="Q110" s="16" t="s">
        <v>82</v>
      </c>
      <c r="R110" s="4"/>
      <c r="S110" s="4" t="s">
        <v>231</v>
      </c>
      <c r="T110" s="1" t="s">
        <v>231</v>
      </c>
      <c r="U110" s="41" t="s">
        <v>230</v>
      </c>
    </row>
    <row r="111" spans="1:21" ht="38.4" customHeight="1" x14ac:dyDescent="0.25">
      <c r="A111" s="2">
        <v>178</v>
      </c>
      <c r="B111" s="18" t="s">
        <v>154</v>
      </c>
      <c r="C111" s="65" t="s">
        <v>377</v>
      </c>
      <c r="D111" s="3" t="s">
        <v>772</v>
      </c>
      <c r="E111" s="103" t="s">
        <v>773</v>
      </c>
      <c r="F111" s="1" t="s">
        <v>210</v>
      </c>
      <c r="G111" s="1"/>
      <c r="H111" s="1"/>
      <c r="I111" s="1"/>
      <c r="J111" s="57" t="s">
        <v>100</v>
      </c>
      <c r="K111" s="71" t="e">
        <f t="shared" si="7"/>
        <v>#VALUE!</v>
      </c>
      <c r="L111" s="4" t="s">
        <v>100</v>
      </c>
      <c r="M111" s="8" t="str">
        <f t="shared" si="5"/>
        <v>PEN</v>
      </c>
      <c r="N111" s="10" t="e">
        <f t="shared" ca="1" si="6"/>
        <v>#VALUE!</v>
      </c>
      <c r="O111" s="4"/>
      <c r="P111" s="8" t="s">
        <v>130</v>
      </c>
      <c r="Q111" s="16" t="s">
        <v>82</v>
      </c>
      <c r="R111" s="4"/>
      <c r="S111" s="4" t="s">
        <v>230</v>
      </c>
      <c r="T111" s="1" t="s">
        <v>230</v>
      </c>
      <c r="U111" s="41" t="s">
        <v>231</v>
      </c>
    </row>
    <row r="112" spans="1:21" ht="38.4" customHeight="1" x14ac:dyDescent="0.25">
      <c r="A112" s="2">
        <v>1244</v>
      </c>
      <c r="B112" s="18" t="s">
        <v>155</v>
      </c>
      <c r="C112" s="65" t="s">
        <v>378</v>
      </c>
      <c r="D112" s="3" t="s">
        <v>774</v>
      </c>
      <c r="E112" s="103" t="s">
        <v>775</v>
      </c>
      <c r="F112" s="1" t="s">
        <v>220</v>
      </c>
      <c r="G112" s="1"/>
      <c r="H112" s="1"/>
      <c r="I112" s="1"/>
      <c r="J112" s="57">
        <v>45812</v>
      </c>
      <c r="K112" s="71">
        <f t="shared" si="7"/>
        <v>46177</v>
      </c>
      <c r="L112" s="4">
        <v>12</v>
      </c>
      <c r="M112" s="8" t="str">
        <f t="shared" si="5"/>
        <v>BAL</v>
      </c>
      <c r="N112" s="10" t="str">
        <f t="shared" ca="1" si="6"/>
        <v>NÃO</v>
      </c>
      <c r="O112" s="4"/>
      <c r="P112" s="8" t="s">
        <v>130</v>
      </c>
      <c r="Q112" s="16" t="s">
        <v>83</v>
      </c>
      <c r="R112" s="4"/>
      <c r="S112" s="4" t="s">
        <v>231</v>
      </c>
      <c r="T112" s="1" t="s">
        <v>231</v>
      </c>
      <c r="U112" s="41" t="s">
        <v>230</v>
      </c>
    </row>
    <row r="113" spans="1:22" ht="38.4" customHeight="1" x14ac:dyDescent="0.25">
      <c r="A113" s="2">
        <v>1453</v>
      </c>
      <c r="B113" s="18" t="s">
        <v>30</v>
      </c>
      <c r="C113" s="65" t="s">
        <v>24</v>
      </c>
      <c r="D113" s="3" t="s">
        <v>25</v>
      </c>
      <c r="E113" s="103" t="s">
        <v>776</v>
      </c>
      <c r="F113" s="1" t="s">
        <v>219</v>
      </c>
      <c r="G113" s="1"/>
      <c r="H113" s="1"/>
      <c r="I113" s="1"/>
      <c r="J113" s="57">
        <v>45791</v>
      </c>
      <c r="K113" s="71">
        <f t="shared" si="7"/>
        <v>46156</v>
      </c>
      <c r="L113" s="4">
        <v>12</v>
      </c>
      <c r="M113" s="8" t="str">
        <f t="shared" si="5"/>
        <v>EST</v>
      </c>
      <c r="N113" s="10" t="str">
        <f t="shared" ca="1" si="6"/>
        <v>NÃO</v>
      </c>
      <c r="O113" s="4"/>
      <c r="P113" s="8" t="s">
        <v>130</v>
      </c>
      <c r="Q113" s="16" t="s">
        <v>82</v>
      </c>
      <c r="R113" s="4"/>
      <c r="S113" s="4" t="s">
        <v>231</v>
      </c>
      <c r="T113" s="1" t="s">
        <v>231</v>
      </c>
      <c r="U113" s="41" t="s">
        <v>230</v>
      </c>
    </row>
    <row r="114" spans="1:22" ht="38.4" customHeight="1" x14ac:dyDescent="0.25">
      <c r="A114" s="2">
        <v>1235</v>
      </c>
      <c r="B114" s="18" t="s">
        <v>156</v>
      </c>
      <c r="C114" s="65" t="s">
        <v>379</v>
      </c>
      <c r="D114" s="3" t="s">
        <v>777</v>
      </c>
      <c r="E114" s="103" t="s">
        <v>665</v>
      </c>
      <c r="F114" s="1" t="s">
        <v>218</v>
      </c>
      <c r="G114" s="1"/>
      <c r="H114" s="1"/>
      <c r="I114" s="1"/>
      <c r="J114" s="57" t="s">
        <v>100</v>
      </c>
      <c r="K114" s="71" t="e">
        <f t="shared" si="7"/>
        <v>#VALUE!</v>
      </c>
      <c r="L114" s="4" t="s">
        <v>100</v>
      </c>
      <c r="M114" s="8" t="str">
        <f t="shared" si="5"/>
        <v>TAN</v>
      </c>
      <c r="N114" s="10" t="e">
        <f t="shared" ca="1" si="6"/>
        <v>#VALUE!</v>
      </c>
      <c r="O114" s="4"/>
      <c r="P114" s="8" t="s">
        <v>130</v>
      </c>
      <c r="Q114" s="16" t="s">
        <v>82</v>
      </c>
      <c r="R114" s="4"/>
      <c r="S114" s="4" t="s">
        <v>230</v>
      </c>
      <c r="T114" s="1" t="s">
        <v>231</v>
      </c>
      <c r="U114" s="41" t="s">
        <v>230</v>
      </c>
    </row>
    <row r="115" spans="1:22" ht="38.4" customHeight="1" x14ac:dyDescent="0.25">
      <c r="A115" s="2">
        <v>1394</v>
      </c>
      <c r="B115" s="18" t="s">
        <v>157</v>
      </c>
      <c r="C115" s="65" t="s">
        <v>380</v>
      </c>
      <c r="D115" s="3" t="s">
        <v>777</v>
      </c>
      <c r="E115" s="103" t="s">
        <v>665</v>
      </c>
      <c r="F115" s="1" t="s">
        <v>218</v>
      </c>
      <c r="G115" s="1"/>
      <c r="H115" s="1"/>
      <c r="I115" s="1"/>
      <c r="J115" s="57" t="s">
        <v>100</v>
      </c>
      <c r="K115" s="71" t="e">
        <f t="shared" si="7"/>
        <v>#VALUE!</v>
      </c>
      <c r="L115" s="4" t="s">
        <v>100</v>
      </c>
      <c r="M115" s="8" t="str">
        <f t="shared" si="5"/>
        <v>TAN</v>
      </c>
      <c r="N115" s="10" t="e">
        <f t="shared" ca="1" si="6"/>
        <v>#VALUE!</v>
      </c>
      <c r="O115" s="4"/>
      <c r="P115" s="8" t="s">
        <v>130</v>
      </c>
      <c r="Q115" s="16" t="s">
        <v>82</v>
      </c>
      <c r="R115" s="4"/>
      <c r="S115" s="4" t="s">
        <v>230</v>
      </c>
      <c r="T115" s="1" t="s">
        <v>231</v>
      </c>
      <c r="U115" s="41" t="s">
        <v>230</v>
      </c>
    </row>
    <row r="116" spans="1:22" ht="38.4" customHeight="1" x14ac:dyDescent="0.25">
      <c r="A116" s="2">
        <v>1233</v>
      </c>
      <c r="B116" s="18" t="s">
        <v>158</v>
      </c>
      <c r="C116" s="65" t="s">
        <v>381</v>
      </c>
      <c r="D116" s="3" t="s">
        <v>777</v>
      </c>
      <c r="E116" s="103" t="s">
        <v>665</v>
      </c>
      <c r="F116" s="1" t="s">
        <v>217</v>
      </c>
      <c r="G116" s="1"/>
      <c r="H116" s="1"/>
      <c r="I116" s="1"/>
      <c r="J116" s="57" t="s">
        <v>100</v>
      </c>
      <c r="K116" s="71" t="e">
        <f t="shared" si="7"/>
        <v>#VALUE!</v>
      </c>
      <c r="L116" s="4" t="s">
        <v>100</v>
      </c>
      <c r="M116" s="8" t="str">
        <f t="shared" si="5"/>
        <v>TAN</v>
      </c>
      <c r="N116" s="10" t="e">
        <f t="shared" ca="1" si="6"/>
        <v>#VALUE!</v>
      </c>
      <c r="O116" s="4"/>
      <c r="P116" s="8" t="s">
        <v>130</v>
      </c>
      <c r="Q116" s="16" t="s">
        <v>83</v>
      </c>
      <c r="R116" s="4"/>
      <c r="S116" s="4" t="s">
        <v>230</v>
      </c>
      <c r="T116" s="1" t="s">
        <v>231</v>
      </c>
      <c r="U116" s="41" t="s">
        <v>230</v>
      </c>
    </row>
    <row r="117" spans="1:22" ht="38.4" customHeight="1" x14ac:dyDescent="0.25">
      <c r="A117" s="2">
        <v>1234</v>
      </c>
      <c r="B117" s="18" t="s">
        <v>159</v>
      </c>
      <c r="C117" s="65" t="s">
        <v>381</v>
      </c>
      <c r="D117" s="3" t="s">
        <v>777</v>
      </c>
      <c r="E117" s="103" t="s">
        <v>665</v>
      </c>
      <c r="F117" s="1" t="s">
        <v>36</v>
      </c>
      <c r="G117" s="1"/>
      <c r="H117" s="1"/>
      <c r="I117" s="1"/>
      <c r="J117" s="57" t="s">
        <v>100</v>
      </c>
      <c r="K117" s="71" t="e">
        <f t="shared" si="7"/>
        <v>#VALUE!</v>
      </c>
      <c r="L117" s="4" t="s">
        <v>100</v>
      </c>
      <c r="M117" s="8" t="str">
        <f t="shared" si="5"/>
        <v>TAN</v>
      </c>
      <c r="N117" s="10" t="e">
        <f t="shared" ca="1" si="6"/>
        <v>#VALUE!</v>
      </c>
      <c r="O117" s="4"/>
      <c r="P117" s="8" t="s">
        <v>130</v>
      </c>
      <c r="Q117" s="16" t="s">
        <v>82</v>
      </c>
      <c r="R117" s="4"/>
      <c r="S117" s="4" t="s">
        <v>236</v>
      </c>
      <c r="T117" s="1" t="s">
        <v>231</v>
      </c>
      <c r="U117" s="41" t="s">
        <v>230</v>
      </c>
    </row>
    <row r="118" spans="1:22" ht="38.4" customHeight="1" x14ac:dyDescent="0.25">
      <c r="A118" s="2">
        <v>1315</v>
      </c>
      <c r="B118" s="18" t="s">
        <v>160</v>
      </c>
      <c r="C118" s="65" t="s">
        <v>382</v>
      </c>
      <c r="D118" s="109">
        <v>200</v>
      </c>
      <c r="E118" s="97">
        <v>0</v>
      </c>
      <c r="F118" s="1" t="s">
        <v>216</v>
      </c>
      <c r="G118" s="1"/>
      <c r="H118" s="1"/>
      <c r="I118" s="1"/>
      <c r="J118" s="57" t="s">
        <v>100</v>
      </c>
      <c r="K118" s="71" t="e">
        <f t="shared" si="7"/>
        <v>#VALUE!</v>
      </c>
      <c r="L118" s="4" t="s">
        <v>100</v>
      </c>
      <c r="M118" s="8" t="str">
        <f t="shared" si="5"/>
        <v>PEN</v>
      </c>
      <c r="N118" s="10" t="e">
        <f t="shared" ca="1" si="6"/>
        <v>#VALUE!</v>
      </c>
      <c r="O118" s="4"/>
      <c r="P118" s="8" t="s">
        <v>130</v>
      </c>
      <c r="Q118" s="16" t="s">
        <v>83</v>
      </c>
      <c r="R118" s="4"/>
      <c r="S118" s="4" t="s">
        <v>230</v>
      </c>
      <c r="T118" s="1" t="s">
        <v>231</v>
      </c>
      <c r="U118" s="41" t="s">
        <v>230</v>
      </c>
    </row>
    <row r="119" spans="1:22" ht="38.4" customHeight="1" x14ac:dyDescent="0.25">
      <c r="A119" s="2">
        <v>1518</v>
      </c>
      <c r="B119" s="18" t="s">
        <v>178</v>
      </c>
      <c r="C119" s="65" t="s">
        <v>356</v>
      </c>
      <c r="D119" s="3" t="s">
        <v>778</v>
      </c>
      <c r="E119" s="103" t="s">
        <v>779</v>
      </c>
      <c r="F119" s="1" t="s">
        <v>78</v>
      </c>
      <c r="G119" s="1"/>
      <c r="H119" s="1"/>
      <c r="I119" s="1"/>
      <c r="J119" s="57" t="s">
        <v>100</v>
      </c>
      <c r="K119" s="71" t="e">
        <f t="shared" si="7"/>
        <v>#VALUE!</v>
      </c>
      <c r="L119" s="4" t="s">
        <v>100</v>
      </c>
      <c r="M119" s="8" t="str">
        <f t="shared" si="5"/>
        <v>PEN</v>
      </c>
      <c r="N119" s="10" t="e">
        <f t="shared" ca="1" si="6"/>
        <v>#VALUE!</v>
      </c>
      <c r="O119" s="4"/>
      <c r="P119" s="8" t="s">
        <v>130</v>
      </c>
      <c r="Q119" s="16" t="s">
        <v>83</v>
      </c>
      <c r="R119" s="4"/>
      <c r="S119" s="4" t="s">
        <v>230</v>
      </c>
      <c r="T119" s="1" t="s">
        <v>231</v>
      </c>
      <c r="U119" s="41" t="s">
        <v>230</v>
      </c>
      <c r="V119" s="14"/>
    </row>
    <row r="120" spans="1:22" ht="38.4" customHeight="1" x14ac:dyDescent="0.25">
      <c r="A120" s="2">
        <v>1035</v>
      </c>
      <c r="B120" s="18" t="s">
        <v>179</v>
      </c>
      <c r="C120" s="65" t="s">
        <v>383</v>
      </c>
      <c r="D120" s="3" t="s">
        <v>780</v>
      </c>
      <c r="E120" s="103" t="s">
        <v>781</v>
      </c>
      <c r="F120" s="1" t="s">
        <v>77</v>
      </c>
      <c r="G120" s="1"/>
      <c r="H120" s="1"/>
      <c r="I120" s="1"/>
      <c r="J120" s="57" t="s">
        <v>100</v>
      </c>
      <c r="K120" s="71" t="e">
        <f t="shared" si="7"/>
        <v>#VALUE!</v>
      </c>
      <c r="L120" s="4" t="s">
        <v>100</v>
      </c>
      <c r="M120" s="8" t="str">
        <f t="shared" si="5"/>
        <v>PEN</v>
      </c>
      <c r="N120" s="10" t="e">
        <f t="shared" ca="1" si="6"/>
        <v>#VALUE!</v>
      </c>
      <c r="O120" s="4"/>
      <c r="P120" s="8" t="s">
        <v>130</v>
      </c>
      <c r="Q120" s="16" t="s">
        <v>83</v>
      </c>
      <c r="R120" s="4"/>
      <c r="S120" s="4" t="s">
        <v>230</v>
      </c>
      <c r="T120" s="1" t="s">
        <v>231</v>
      </c>
      <c r="U120" s="41" t="s">
        <v>230</v>
      </c>
    </row>
    <row r="121" spans="1:22" ht="38.4" customHeight="1" x14ac:dyDescent="0.25">
      <c r="A121" s="2">
        <v>991</v>
      </c>
      <c r="B121" s="18" t="s">
        <v>180</v>
      </c>
      <c r="C121" s="65" t="s">
        <v>384</v>
      </c>
      <c r="D121" s="3" t="s">
        <v>756</v>
      </c>
      <c r="E121" s="103" t="s">
        <v>782</v>
      </c>
      <c r="F121" s="1" t="s">
        <v>217</v>
      </c>
      <c r="G121" s="1"/>
      <c r="H121" s="1"/>
      <c r="I121" s="1"/>
      <c r="J121" s="57" t="s">
        <v>100</v>
      </c>
      <c r="K121" s="71" t="e">
        <f t="shared" si="7"/>
        <v>#VALUE!</v>
      </c>
      <c r="L121" s="4" t="s">
        <v>100</v>
      </c>
      <c r="M121" s="8" t="str">
        <f t="shared" si="5"/>
        <v>PEN</v>
      </c>
      <c r="N121" s="10" t="e">
        <f t="shared" ca="1" si="6"/>
        <v>#VALUE!</v>
      </c>
      <c r="O121" s="4"/>
      <c r="P121" s="8" t="s">
        <v>130</v>
      </c>
      <c r="Q121" s="16" t="s">
        <v>82</v>
      </c>
      <c r="R121" s="4"/>
      <c r="S121" s="4" t="s">
        <v>230</v>
      </c>
      <c r="T121" s="1" t="s">
        <v>230</v>
      </c>
      <c r="U121" s="20" t="s">
        <v>231</v>
      </c>
    </row>
    <row r="122" spans="1:22" ht="38.4" customHeight="1" x14ac:dyDescent="0.25">
      <c r="A122" s="2">
        <v>1422</v>
      </c>
      <c r="B122" s="18" t="s">
        <v>181</v>
      </c>
      <c r="C122" s="65" t="s">
        <v>385</v>
      </c>
      <c r="D122" s="3" t="s">
        <v>783</v>
      </c>
      <c r="E122" s="103" t="s">
        <v>784</v>
      </c>
      <c r="F122" s="1" t="s">
        <v>78</v>
      </c>
      <c r="G122" s="1"/>
      <c r="H122" s="1"/>
      <c r="I122" s="1"/>
      <c r="J122" s="57" t="s">
        <v>100</v>
      </c>
      <c r="K122" s="71" t="e">
        <f t="shared" si="7"/>
        <v>#VALUE!</v>
      </c>
      <c r="L122" s="4" t="s">
        <v>100</v>
      </c>
      <c r="M122" s="8" t="str">
        <f t="shared" si="5"/>
        <v>PEN</v>
      </c>
      <c r="N122" s="10" t="e">
        <f t="shared" ca="1" si="6"/>
        <v>#VALUE!</v>
      </c>
      <c r="O122" s="4"/>
      <c r="P122" s="8" t="s">
        <v>130</v>
      </c>
      <c r="Q122" s="16" t="s">
        <v>83</v>
      </c>
      <c r="R122" s="4"/>
      <c r="S122" s="4" t="s">
        <v>230</v>
      </c>
      <c r="T122" s="1" t="s">
        <v>230</v>
      </c>
      <c r="U122" s="20" t="s">
        <v>231</v>
      </c>
    </row>
    <row r="123" spans="1:22" ht="38.4" customHeight="1" x14ac:dyDescent="0.25">
      <c r="A123" s="2">
        <v>1046</v>
      </c>
      <c r="B123" s="18" t="s">
        <v>182</v>
      </c>
      <c r="C123" s="65" t="s">
        <v>366</v>
      </c>
      <c r="D123" s="3" t="s">
        <v>756</v>
      </c>
      <c r="E123" s="103" t="s">
        <v>785</v>
      </c>
      <c r="F123" s="1" t="s">
        <v>78</v>
      </c>
      <c r="G123" s="1"/>
      <c r="H123" s="1"/>
      <c r="I123" s="1"/>
      <c r="J123" s="57" t="s">
        <v>100</v>
      </c>
      <c r="K123" s="71" t="e">
        <f t="shared" ref="K123:K147" si="8">IF(J123="-",IF(L123="-","FORA DE USO","CALIBRAR"),IF(L123="-","FORA DE USO",EDATE(J123,L123)))</f>
        <v>#VALUE!</v>
      </c>
      <c r="L123" s="4" t="s">
        <v>100</v>
      </c>
      <c r="M123" s="8" t="str">
        <f t="shared" si="5"/>
        <v>PEN</v>
      </c>
      <c r="N123" s="10" t="e">
        <f t="shared" ca="1" si="6"/>
        <v>#VALUE!</v>
      </c>
      <c r="O123" s="4"/>
      <c r="P123" s="8" t="s">
        <v>130</v>
      </c>
      <c r="Q123" s="16" t="s">
        <v>83</v>
      </c>
      <c r="R123" s="4"/>
      <c r="S123" s="4" t="s">
        <v>230</v>
      </c>
      <c r="T123" s="1" t="s">
        <v>230</v>
      </c>
      <c r="U123" s="20" t="s">
        <v>231</v>
      </c>
    </row>
    <row r="124" spans="1:22" ht="38.4" customHeight="1" x14ac:dyDescent="0.25">
      <c r="A124" s="2">
        <v>1419</v>
      </c>
      <c r="B124" s="18" t="s">
        <v>183</v>
      </c>
      <c r="C124" s="65" t="s">
        <v>386</v>
      </c>
      <c r="D124" s="3" t="s">
        <v>670</v>
      </c>
      <c r="E124" s="103" t="s">
        <v>786</v>
      </c>
      <c r="F124" s="1" t="s">
        <v>387</v>
      </c>
      <c r="G124" s="1"/>
      <c r="H124" s="1"/>
      <c r="I124" s="1"/>
      <c r="J124" s="57" t="s">
        <v>100</v>
      </c>
      <c r="K124" s="71" t="e">
        <f t="shared" si="8"/>
        <v>#VALUE!</v>
      </c>
      <c r="L124" s="4" t="s">
        <v>100</v>
      </c>
      <c r="M124" s="8" t="str">
        <f t="shared" si="5"/>
        <v>PEN</v>
      </c>
      <c r="N124" s="10" t="e">
        <f t="shared" ca="1" si="6"/>
        <v>#VALUE!</v>
      </c>
      <c r="O124" s="4"/>
      <c r="P124" s="8" t="s">
        <v>130</v>
      </c>
      <c r="Q124" s="16" t="s">
        <v>83</v>
      </c>
      <c r="R124" s="4"/>
      <c r="S124" s="4" t="s">
        <v>230</v>
      </c>
      <c r="T124" s="1" t="s">
        <v>230</v>
      </c>
      <c r="U124" s="20" t="s">
        <v>231</v>
      </c>
    </row>
    <row r="125" spans="1:22" ht="38.4" customHeight="1" x14ac:dyDescent="0.25">
      <c r="A125" s="2">
        <v>1229</v>
      </c>
      <c r="B125" s="18" t="s">
        <v>206</v>
      </c>
      <c r="C125" s="65" t="s">
        <v>388</v>
      </c>
      <c r="D125" s="3" t="s">
        <v>787</v>
      </c>
      <c r="E125" s="103" t="s">
        <v>788</v>
      </c>
      <c r="F125" s="1" t="s">
        <v>76</v>
      </c>
      <c r="G125" s="1"/>
      <c r="H125" s="1"/>
      <c r="I125" s="1"/>
      <c r="J125" s="57">
        <v>45700</v>
      </c>
      <c r="K125" s="71">
        <v>46081</v>
      </c>
      <c r="L125" s="4">
        <v>12</v>
      </c>
      <c r="M125" s="8" t="str">
        <f t="shared" si="5"/>
        <v>DEN</v>
      </c>
      <c r="N125" s="10" t="str">
        <f t="shared" ca="1" si="6"/>
        <v>NÃO</v>
      </c>
      <c r="O125" s="4"/>
      <c r="P125" s="8" t="s">
        <v>130</v>
      </c>
      <c r="Q125" s="16" t="s">
        <v>82</v>
      </c>
      <c r="R125" s="1" t="s">
        <v>204</v>
      </c>
      <c r="S125" s="1" t="s">
        <v>231</v>
      </c>
      <c r="T125" s="1" t="s">
        <v>231</v>
      </c>
      <c r="U125" s="20" t="s">
        <v>230</v>
      </c>
    </row>
    <row r="126" spans="1:22" ht="38.4" customHeight="1" x14ac:dyDescent="0.25">
      <c r="A126" s="2">
        <v>1511</v>
      </c>
      <c r="B126" s="18" t="s">
        <v>237</v>
      </c>
      <c r="C126" s="65" t="s">
        <v>356</v>
      </c>
      <c r="D126" s="3" t="s">
        <v>778</v>
      </c>
      <c r="E126" s="103" t="s">
        <v>789</v>
      </c>
      <c r="F126" s="1" t="s">
        <v>78</v>
      </c>
      <c r="G126" s="1"/>
      <c r="H126" s="1"/>
      <c r="I126" s="1"/>
      <c r="J126" s="57" t="s">
        <v>100</v>
      </c>
      <c r="K126" s="71" t="e">
        <f t="shared" si="8"/>
        <v>#VALUE!</v>
      </c>
      <c r="L126" s="4" t="s">
        <v>100</v>
      </c>
      <c r="M126" s="8" t="str">
        <f t="shared" si="5"/>
        <v>PEN</v>
      </c>
      <c r="N126" s="10" t="e">
        <f t="shared" ca="1" si="6"/>
        <v>#VALUE!</v>
      </c>
      <c r="O126" s="4"/>
      <c r="P126" s="8" t="s">
        <v>38</v>
      </c>
      <c r="Q126" s="16" t="s">
        <v>82</v>
      </c>
      <c r="R126" s="1"/>
      <c r="S126" s="1" t="s">
        <v>230</v>
      </c>
      <c r="T126" s="1" t="s">
        <v>230</v>
      </c>
      <c r="U126" s="20" t="s">
        <v>231</v>
      </c>
    </row>
    <row r="127" spans="1:22" ht="38.4" customHeight="1" x14ac:dyDescent="0.25">
      <c r="A127" s="2">
        <v>1593</v>
      </c>
      <c r="B127" s="18" t="s">
        <v>238</v>
      </c>
      <c r="C127" s="65" t="s">
        <v>389</v>
      </c>
      <c r="D127" s="3" t="s">
        <v>738</v>
      </c>
      <c r="E127" s="103" t="s">
        <v>790</v>
      </c>
      <c r="F127" s="1" t="s">
        <v>78</v>
      </c>
      <c r="G127" s="97"/>
      <c r="H127" s="1"/>
      <c r="I127" s="1"/>
      <c r="J127" s="57" t="s">
        <v>100</v>
      </c>
      <c r="K127" s="71" t="e">
        <f t="shared" si="8"/>
        <v>#VALUE!</v>
      </c>
      <c r="L127" s="4" t="s">
        <v>100</v>
      </c>
      <c r="M127" s="8" t="str">
        <f t="shared" si="5"/>
        <v>PEN</v>
      </c>
      <c r="N127" s="10" t="e">
        <f t="shared" ca="1" si="6"/>
        <v>#VALUE!</v>
      </c>
      <c r="O127" s="4"/>
      <c r="P127" s="8" t="s">
        <v>38</v>
      </c>
      <c r="Q127" s="16" t="s">
        <v>82</v>
      </c>
      <c r="R127" s="1"/>
      <c r="S127" s="1" t="s">
        <v>230</v>
      </c>
      <c r="T127" s="1" t="s">
        <v>230</v>
      </c>
      <c r="U127" s="20" t="s">
        <v>231</v>
      </c>
    </row>
    <row r="128" spans="1:22" ht="38.4" customHeight="1" x14ac:dyDescent="0.25">
      <c r="A128" s="2">
        <v>1594</v>
      </c>
      <c r="B128" s="18" t="s">
        <v>239</v>
      </c>
      <c r="C128" s="65" t="s">
        <v>390</v>
      </c>
      <c r="D128" s="3" t="s">
        <v>738</v>
      </c>
      <c r="E128" s="103" t="s">
        <v>791</v>
      </c>
      <c r="F128" s="1" t="s">
        <v>78</v>
      </c>
      <c r="G128" s="1"/>
      <c r="H128" s="1"/>
      <c r="I128" s="1"/>
      <c r="J128" s="57" t="s">
        <v>100</v>
      </c>
      <c r="K128" s="71" t="e">
        <f t="shared" si="8"/>
        <v>#VALUE!</v>
      </c>
      <c r="L128" s="4" t="s">
        <v>100</v>
      </c>
      <c r="M128" s="8" t="str">
        <f t="shared" si="5"/>
        <v>PEN</v>
      </c>
      <c r="N128" s="10" t="e">
        <f t="shared" ca="1" si="6"/>
        <v>#VALUE!</v>
      </c>
      <c r="O128" s="4"/>
      <c r="P128" s="8" t="s">
        <v>38</v>
      </c>
      <c r="Q128" s="16" t="s">
        <v>82</v>
      </c>
      <c r="R128" s="1"/>
      <c r="S128" s="1" t="s">
        <v>230</v>
      </c>
      <c r="T128" s="1" t="s">
        <v>230</v>
      </c>
      <c r="U128" s="20" t="s">
        <v>231</v>
      </c>
    </row>
    <row r="129" spans="1:21" ht="38.4" customHeight="1" x14ac:dyDescent="0.25">
      <c r="A129" s="2">
        <v>1595</v>
      </c>
      <c r="B129" s="18" t="s">
        <v>240</v>
      </c>
      <c r="C129" s="65" t="s">
        <v>391</v>
      </c>
      <c r="D129" s="3" t="s">
        <v>738</v>
      </c>
      <c r="E129" s="103" t="s">
        <v>792</v>
      </c>
      <c r="F129" s="1" t="s">
        <v>78</v>
      </c>
      <c r="G129" s="1"/>
      <c r="H129" s="1"/>
      <c r="I129" s="1"/>
      <c r="J129" s="57" t="s">
        <v>100</v>
      </c>
      <c r="K129" s="71" t="e">
        <f t="shared" si="8"/>
        <v>#VALUE!</v>
      </c>
      <c r="L129" s="4" t="s">
        <v>100</v>
      </c>
      <c r="M129" s="8" t="str">
        <f t="shared" si="5"/>
        <v>PEN</v>
      </c>
      <c r="N129" s="10" t="e">
        <f t="shared" ca="1" si="6"/>
        <v>#VALUE!</v>
      </c>
      <c r="O129" s="4"/>
      <c r="P129" s="8" t="s">
        <v>38</v>
      </c>
      <c r="Q129" s="16" t="s">
        <v>82</v>
      </c>
      <c r="R129" s="1"/>
      <c r="S129" s="1" t="s">
        <v>230</v>
      </c>
      <c r="T129" s="1" t="s">
        <v>230</v>
      </c>
      <c r="U129" s="20" t="s">
        <v>231</v>
      </c>
    </row>
    <row r="130" spans="1:21" ht="38.4" customHeight="1" x14ac:dyDescent="0.25">
      <c r="A130" s="2">
        <v>1454</v>
      </c>
      <c r="B130" s="18" t="s">
        <v>243</v>
      </c>
      <c r="C130" s="65" t="s">
        <v>392</v>
      </c>
      <c r="D130" s="3" t="s">
        <v>658</v>
      </c>
      <c r="E130" s="103" t="s">
        <v>793</v>
      </c>
      <c r="F130" s="1" t="s">
        <v>797</v>
      </c>
      <c r="G130" s="1"/>
      <c r="H130" s="1"/>
      <c r="I130" s="1"/>
      <c r="J130" s="57" t="s">
        <v>100</v>
      </c>
      <c r="K130" s="73" t="e">
        <f t="shared" si="8"/>
        <v>#VALUE!</v>
      </c>
      <c r="L130" s="4" t="s">
        <v>100</v>
      </c>
      <c r="M130" s="8" t="str">
        <f t="shared" ref="M130:M193" si="9">LEFT(B130,3)</f>
        <v>BAL</v>
      </c>
      <c r="N130" s="10" t="e">
        <f t="shared" ca="1" si="6"/>
        <v>#VALUE!</v>
      </c>
      <c r="O130" s="4"/>
      <c r="P130" s="8" t="s">
        <v>112</v>
      </c>
      <c r="Q130" s="16" t="s">
        <v>82</v>
      </c>
      <c r="R130" s="1"/>
      <c r="S130" s="1" t="s">
        <v>230</v>
      </c>
      <c r="T130" s="1" t="s">
        <v>231</v>
      </c>
      <c r="U130" s="20" t="s">
        <v>230</v>
      </c>
    </row>
    <row r="131" spans="1:21" ht="38.4" customHeight="1" x14ac:dyDescent="0.25">
      <c r="A131" s="2">
        <v>1583</v>
      </c>
      <c r="B131" s="18" t="s">
        <v>203</v>
      </c>
      <c r="C131" s="65" t="s">
        <v>393</v>
      </c>
      <c r="D131" s="3" t="s">
        <v>794</v>
      </c>
      <c r="E131" s="103" t="s">
        <v>795</v>
      </c>
      <c r="F131" s="1" t="s">
        <v>796</v>
      </c>
      <c r="G131" s="1"/>
      <c r="H131" s="1"/>
      <c r="I131" s="1"/>
      <c r="J131" s="57" t="s">
        <v>100</v>
      </c>
      <c r="K131" s="73" t="e">
        <f t="shared" si="8"/>
        <v>#VALUE!</v>
      </c>
      <c r="L131" s="4" t="s">
        <v>100</v>
      </c>
      <c r="M131" s="8" t="str">
        <f t="shared" si="9"/>
        <v>BAL</v>
      </c>
      <c r="N131" s="10" t="e">
        <f t="shared" ref="N131:N193" ca="1" si="10">IF(K131="","",IF(TODAY()&gt;K131,"SIM","NÃO"))</f>
        <v>#VALUE!</v>
      </c>
      <c r="O131" s="4"/>
      <c r="P131" s="8" t="s">
        <v>113</v>
      </c>
      <c r="Q131" s="16" t="s">
        <v>82</v>
      </c>
      <c r="R131" s="1"/>
      <c r="S131" s="1" t="s">
        <v>230</v>
      </c>
      <c r="T131" s="1" t="s">
        <v>231</v>
      </c>
      <c r="U131" s="20" t="s">
        <v>230</v>
      </c>
    </row>
    <row r="132" spans="1:21" ht="38.4" customHeight="1" x14ac:dyDescent="0.25">
      <c r="A132" s="2">
        <v>183</v>
      </c>
      <c r="B132" s="18" t="s">
        <v>279</v>
      </c>
      <c r="C132" s="65" t="s">
        <v>322</v>
      </c>
      <c r="D132" s="3" t="s">
        <v>678</v>
      </c>
      <c r="E132" s="103" t="s">
        <v>732</v>
      </c>
      <c r="F132" s="1" t="s">
        <v>225</v>
      </c>
      <c r="G132" s="1"/>
      <c r="H132" s="1"/>
      <c r="I132" s="1"/>
      <c r="J132" s="57">
        <v>45040</v>
      </c>
      <c r="K132" s="73">
        <f t="shared" si="8"/>
        <v>45406</v>
      </c>
      <c r="L132" s="4">
        <v>12</v>
      </c>
      <c r="M132" s="8" t="str">
        <f t="shared" si="9"/>
        <v>PEN</v>
      </c>
      <c r="N132" s="10" t="str">
        <f t="shared" ca="1" si="10"/>
        <v>SIM</v>
      </c>
      <c r="O132" s="4"/>
      <c r="P132" s="8" t="s">
        <v>280</v>
      </c>
      <c r="Q132" s="16" t="s">
        <v>82</v>
      </c>
      <c r="R132" s="1" t="s">
        <v>204</v>
      </c>
      <c r="S132" s="1" t="s">
        <v>231</v>
      </c>
      <c r="T132" s="1" t="s">
        <v>231</v>
      </c>
      <c r="U132" s="41" t="s">
        <v>230</v>
      </c>
    </row>
    <row r="133" spans="1:21" ht="38.4" customHeight="1" x14ac:dyDescent="0.25">
      <c r="A133" s="2">
        <v>605</v>
      </c>
      <c r="B133" s="18" t="s">
        <v>282</v>
      </c>
      <c r="C133" s="65" t="s">
        <v>394</v>
      </c>
      <c r="D133" s="3" t="s">
        <v>798</v>
      </c>
      <c r="E133" s="103" t="s">
        <v>799</v>
      </c>
      <c r="F133" s="1" t="s">
        <v>225</v>
      </c>
      <c r="G133" s="1"/>
      <c r="H133" s="1"/>
      <c r="I133" s="1"/>
      <c r="J133" s="57">
        <v>45040</v>
      </c>
      <c r="K133" s="73">
        <f t="shared" si="8"/>
        <v>45406</v>
      </c>
      <c r="L133" s="4">
        <v>12</v>
      </c>
      <c r="M133" s="8" t="str">
        <f t="shared" si="9"/>
        <v>PEN</v>
      </c>
      <c r="N133" s="10" t="str">
        <f t="shared" ca="1" si="10"/>
        <v>SIM</v>
      </c>
      <c r="O133" s="4"/>
      <c r="P133" s="8" t="s">
        <v>280</v>
      </c>
      <c r="Q133" s="16" t="s">
        <v>82</v>
      </c>
      <c r="R133" s="1" t="s">
        <v>204</v>
      </c>
      <c r="S133" s="1" t="s">
        <v>231</v>
      </c>
      <c r="T133" s="1" t="s">
        <v>231</v>
      </c>
      <c r="U133" s="41" t="s">
        <v>230</v>
      </c>
    </row>
    <row r="134" spans="1:21" ht="38.4" customHeight="1" x14ac:dyDescent="0.25">
      <c r="A134" s="2">
        <v>730</v>
      </c>
      <c r="B134" s="18" t="s">
        <v>283</v>
      </c>
      <c r="C134" s="65" t="s">
        <v>395</v>
      </c>
      <c r="D134" s="3" t="s">
        <v>758</v>
      </c>
      <c r="E134" s="103" t="s">
        <v>665</v>
      </c>
      <c r="F134" s="1" t="s">
        <v>77</v>
      </c>
      <c r="G134" s="1"/>
      <c r="H134" s="1"/>
      <c r="I134" s="1"/>
      <c r="J134" s="57">
        <v>45635</v>
      </c>
      <c r="K134" s="73">
        <f t="shared" si="8"/>
        <v>46000</v>
      </c>
      <c r="L134" s="4">
        <v>12</v>
      </c>
      <c r="M134" s="8" t="str">
        <f t="shared" si="9"/>
        <v>PEN</v>
      </c>
      <c r="N134" s="10" t="str">
        <f t="shared" ca="1" si="10"/>
        <v>NÃO</v>
      </c>
      <c r="O134" s="4"/>
      <c r="P134" s="8" t="s">
        <v>280</v>
      </c>
      <c r="Q134" s="16" t="s">
        <v>82</v>
      </c>
      <c r="R134" s="1" t="s">
        <v>204</v>
      </c>
      <c r="S134" s="1" t="s">
        <v>231</v>
      </c>
      <c r="T134" s="1" t="s">
        <v>231</v>
      </c>
      <c r="U134" s="41" t="s">
        <v>230</v>
      </c>
    </row>
    <row r="135" spans="1:21" ht="38.4" customHeight="1" x14ac:dyDescent="0.25">
      <c r="A135" s="2">
        <v>1013</v>
      </c>
      <c r="B135" s="18" t="s">
        <v>144</v>
      </c>
      <c r="C135" s="65" t="s">
        <v>367</v>
      </c>
      <c r="D135" s="3" t="s">
        <v>758</v>
      </c>
      <c r="E135" s="103" t="s">
        <v>759</v>
      </c>
      <c r="F135" s="1" t="s">
        <v>77</v>
      </c>
      <c r="G135" s="1"/>
      <c r="H135" s="1"/>
      <c r="I135" s="1"/>
      <c r="J135" s="57" t="s">
        <v>100</v>
      </c>
      <c r="K135" s="73" t="e">
        <f t="shared" si="8"/>
        <v>#VALUE!</v>
      </c>
      <c r="L135" s="4" t="s">
        <v>100</v>
      </c>
      <c r="M135" s="8" t="str">
        <f t="shared" si="9"/>
        <v>PEN</v>
      </c>
      <c r="N135" s="10" t="e">
        <f t="shared" ca="1" si="10"/>
        <v>#VALUE!</v>
      </c>
      <c r="O135" s="4"/>
      <c r="P135" s="8" t="s">
        <v>280</v>
      </c>
      <c r="Q135" s="16" t="s">
        <v>38</v>
      </c>
      <c r="R135" s="1" t="s">
        <v>228</v>
      </c>
      <c r="S135" s="1" t="s">
        <v>230</v>
      </c>
      <c r="T135" s="1" t="s">
        <v>231</v>
      </c>
      <c r="U135" s="41" t="s">
        <v>230</v>
      </c>
    </row>
    <row r="136" spans="1:21" ht="38.4" customHeight="1" x14ac:dyDescent="0.25">
      <c r="A136" s="2">
        <v>1016</v>
      </c>
      <c r="B136" s="18" t="s">
        <v>284</v>
      </c>
      <c r="C136" s="65" t="s">
        <v>396</v>
      </c>
      <c r="D136" s="3" t="s">
        <v>800</v>
      </c>
      <c r="E136" s="103" t="s">
        <v>801</v>
      </c>
      <c r="F136" s="1" t="s">
        <v>77</v>
      </c>
      <c r="G136" s="1"/>
      <c r="H136" s="1"/>
      <c r="I136" s="1"/>
      <c r="J136" s="57" t="s">
        <v>100</v>
      </c>
      <c r="K136" s="73" t="e">
        <f t="shared" si="8"/>
        <v>#VALUE!</v>
      </c>
      <c r="L136" s="4" t="s">
        <v>100</v>
      </c>
      <c r="M136" s="8" t="str">
        <f t="shared" si="9"/>
        <v>PEN</v>
      </c>
      <c r="N136" s="10" t="e">
        <f t="shared" ca="1" si="10"/>
        <v>#VALUE!</v>
      </c>
      <c r="O136" s="4"/>
      <c r="P136" s="8" t="s">
        <v>280</v>
      </c>
      <c r="Q136" s="16" t="s">
        <v>82</v>
      </c>
      <c r="R136" s="1" t="s">
        <v>204</v>
      </c>
      <c r="S136" s="1" t="s">
        <v>230</v>
      </c>
      <c r="T136" s="1" t="s">
        <v>231</v>
      </c>
      <c r="U136" s="41" t="s">
        <v>230</v>
      </c>
    </row>
    <row r="137" spans="1:21" ht="38.4" customHeight="1" x14ac:dyDescent="0.25">
      <c r="A137" s="2">
        <v>1017</v>
      </c>
      <c r="B137" s="18" t="s">
        <v>285</v>
      </c>
      <c r="C137" s="65" t="s">
        <v>396</v>
      </c>
      <c r="D137" s="3" t="s">
        <v>758</v>
      </c>
      <c r="E137" s="103" t="s">
        <v>802</v>
      </c>
      <c r="F137" s="1" t="s">
        <v>77</v>
      </c>
      <c r="G137" s="1"/>
      <c r="H137" s="1"/>
      <c r="I137" s="1"/>
      <c r="J137" s="57" t="s">
        <v>100</v>
      </c>
      <c r="K137" s="73" t="e">
        <f t="shared" si="8"/>
        <v>#VALUE!</v>
      </c>
      <c r="L137" s="4" t="s">
        <v>100</v>
      </c>
      <c r="M137" s="8" t="str">
        <f t="shared" si="9"/>
        <v>PEN</v>
      </c>
      <c r="N137" s="10" t="e">
        <f t="shared" ca="1" si="10"/>
        <v>#VALUE!</v>
      </c>
      <c r="O137" s="4"/>
      <c r="P137" s="8" t="s">
        <v>280</v>
      </c>
      <c r="Q137" s="16" t="s">
        <v>82</v>
      </c>
      <c r="R137" s="1" t="s">
        <v>204</v>
      </c>
      <c r="S137" s="1" t="s">
        <v>230</v>
      </c>
      <c r="T137" s="1" t="s">
        <v>231</v>
      </c>
      <c r="U137" s="41" t="s">
        <v>230</v>
      </c>
    </row>
    <row r="138" spans="1:21" ht="38.4" customHeight="1" x14ac:dyDescent="0.25">
      <c r="A138" s="2">
        <v>1021</v>
      </c>
      <c r="B138" s="18" t="s">
        <v>286</v>
      </c>
      <c r="C138" s="65" t="s">
        <v>397</v>
      </c>
      <c r="D138" s="3" t="s">
        <v>803</v>
      </c>
      <c r="E138" s="103" t="s">
        <v>804</v>
      </c>
      <c r="F138" s="1" t="s">
        <v>77</v>
      </c>
      <c r="G138" s="1"/>
      <c r="H138" s="1"/>
      <c r="I138" s="1"/>
      <c r="J138" s="57" t="s">
        <v>100</v>
      </c>
      <c r="K138" s="73" t="e">
        <f t="shared" si="8"/>
        <v>#VALUE!</v>
      </c>
      <c r="L138" s="4" t="s">
        <v>100</v>
      </c>
      <c r="M138" s="8" t="str">
        <f t="shared" si="9"/>
        <v>PEN</v>
      </c>
      <c r="N138" s="10" t="e">
        <f t="shared" ca="1" si="10"/>
        <v>#VALUE!</v>
      </c>
      <c r="O138" s="4"/>
      <c r="P138" s="8" t="s">
        <v>280</v>
      </c>
      <c r="Q138" s="16" t="s">
        <v>82</v>
      </c>
      <c r="R138" s="1" t="s">
        <v>204</v>
      </c>
      <c r="S138" s="1" t="s">
        <v>230</v>
      </c>
      <c r="T138" s="1" t="s">
        <v>231</v>
      </c>
      <c r="U138" s="41" t="s">
        <v>230</v>
      </c>
    </row>
    <row r="139" spans="1:21" ht="38.4" customHeight="1" x14ac:dyDescent="0.25">
      <c r="A139" s="2">
        <v>1024</v>
      </c>
      <c r="B139" s="18" t="s">
        <v>287</v>
      </c>
      <c r="C139" s="65" t="s">
        <v>398</v>
      </c>
      <c r="D139" s="3" t="s">
        <v>749</v>
      </c>
      <c r="E139" s="103" t="s">
        <v>805</v>
      </c>
      <c r="F139" s="1" t="s">
        <v>77</v>
      </c>
      <c r="G139" s="1"/>
      <c r="H139" s="1"/>
      <c r="I139" s="1"/>
      <c r="J139" s="57" t="s">
        <v>100</v>
      </c>
      <c r="K139" s="73" t="e">
        <f t="shared" si="8"/>
        <v>#VALUE!</v>
      </c>
      <c r="L139" s="4" t="s">
        <v>100</v>
      </c>
      <c r="M139" s="8" t="str">
        <f t="shared" si="9"/>
        <v>PEN</v>
      </c>
      <c r="N139" s="10" t="e">
        <f t="shared" ca="1" si="10"/>
        <v>#VALUE!</v>
      </c>
      <c r="O139" s="4"/>
      <c r="P139" s="8" t="s">
        <v>280</v>
      </c>
      <c r="Q139" s="16" t="s">
        <v>38</v>
      </c>
      <c r="R139" s="1" t="s">
        <v>228</v>
      </c>
      <c r="S139" s="1" t="s">
        <v>230</v>
      </c>
      <c r="T139" s="1" t="s">
        <v>231</v>
      </c>
      <c r="U139" s="41" t="s">
        <v>230</v>
      </c>
    </row>
    <row r="140" spans="1:21" ht="38.4" customHeight="1" x14ac:dyDescent="0.25">
      <c r="A140" s="2">
        <v>1025</v>
      </c>
      <c r="B140" s="18" t="s">
        <v>417</v>
      </c>
      <c r="C140" s="65" t="s">
        <v>399</v>
      </c>
      <c r="D140" s="3" t="s">
        <v>751</v>
      </c>
      <c r="E140" s="103" t="s">
        <v>806</v>
      </c>
      <c r="F140" s="1" t="s">
        <v>77</v>
      </c>
      <c r="G140" s="1"/>
      <c r="H140" s="1"/>
      <c r="I140" s="1"/>
      <c r="J140" s="57">
        <v>45635</v>
      </c>
      <c r="K140" s="73">
        <f t="shared" si="8"/>
        <v>46000</v>
      </c>
      <c r="L140" s="4">
        <v>12</v>
      </c>
      <c r="M140" s="8" t="str">
        <f t="shared" si="9"/>
        <v>PEN</v>
      </c>
      <c r="N140" s="10" t="str">
        <f t="shared" ca="1" si="10"/>
        <v>NÃO</v>
      </c>
      <c r="O140" s="4"/>
      <c r="P140" s="8" t="s">
        <v>280</v>
      </c>
      <c r="Q140" s="16" t="s">
        <v>82</v>
      </c>
      <c r="R140" s="1" t="s">
        <v>204</v>
      </c>
      <c r="S140" s="1" t="s">
        <v>231</v>
      </c>
      <c r="T140" s="1" t="s">
        <v>231</v>
      </c>
      <c r="U140" s="41" t="s">
        <v>230</v>
      </c>
    </row>
    <row r="141" spans="1:21" ht="38.4" customHeight="1" x14ac:dyDescent="0.25">
      <c r="A141" s="2">
        <v>1026</v>
      </c>
      <c r="B141" s="18" t="s">
        <v>288</v>
      </c>
      <c r="C141" s="65" t="s">
        <v>397</v>
      </c>
      <c r="D141" s="3" t="s">
        <v>803</v>
      </c>
      <c r="E141" s="103" t="s">
        <v>807</v>
      </c>
      <c r="F141" s="1" t="s">
        <v>77</v>
      </c>
      <c r="G141" s="1"/>
      <c r="H141" s="1"/>
      <c r="I141" s="1"/>
      <c r="J141" s="57" t="s">
        <v>100</v>
      </c>
      <c r="K141" s="73" t="e">
        <f t="shared" si="8"/>
        <v>#VALUE!</v>
      </c>
      <c r="L141" s="4" t="s">
        <v>100</v>
      </c>
      <c r="M141" s="8" t="str">
        <f t="shared" si="9"/>
        <v>PEN</v>
      </c>
      <c r="N141" s="10" t="e">
        <f t="shared" ca="1" si="10"/>
        <v>#VALUE!</v>
      </c>
      <c r="O141" s="4"/>
      <c r="P141" s="8" t="s">
        <v>280</v>
      </c>
      <c r="Q141" s="16" t="s">
        <v>82</v>
      </c>
      <c r="R141" s="1" t="s">
        <v>204</v>
      </c>
      <c r="S141" s="1" t="s">
        <v>230</v>
      </c>
      <c r="T141" s="1" t="s">
        <v>231</v>
      </c>
      <c r="U141" s="41" t="s">
        <v>230</v>
      </c>
    </row>
    <row r="142" spans="1:21" ht="38.4" customHeight="1" x14ac:dyDescent="0.25">
      <c r="A142" s="2">
        <v>1027</v>
      </c>
      <c r="B142" s="18" t="s">
        <v>151</v>
      </c>
      <c r="C142" s="65" t="s">
        <v>374</v>
      </c>
      <c r="D142" s="3" t="s">
        <v>767</v>
      </c>
      <c r="E142" s="103" t="s">
        <v>768</v>
      </c>
      <c r="F142" s="1" t="s">
        <v>77</v>
      </c>
      <c r="G142" s="1"/>
      <c r="H142" s="1"/>
      <c r="I142" s="1"/>
      <c r="J142" s="57" t="s">
        <v>100</v>
      </c>
      <c r="K142" s="73" t="e">
        <f t="shared" si="8"/>
        <v>#VALUE!</v>
      </c>
      <c r="L142" s="4" t="s">
        <v>100</v>
      </c>
      <c r="M142" s="8" t="str">
        <f t="shared" si="9"/>
        <v>PEN</v>
      </c>
      <c r="N142" s="10" t="e">
        <f t="shared" ca="1" si="10"/>
        <v>#VALUE!</v>
      </c>
      <c r="O142" s="4"/>
      <c r="P142" s="8" t="s">
        <v>280</v>
      </c>
      <c r="Q142" s="16" t="s">
        <v>38</v>
      </c>
      <c r="R142" s="1" t="s">
        <v>228</v>
      </c>
      <c r="S142" s="1" t="s">
        <v>230</v>
      </c>
      <c r="T142" s="1" t="s">
        <v>231</v>
      </c>
      <c r="U142" s="41" t="s">
        <v>230</v>
      </c>
    </row>
    <row r="143" spans="1:21" ht="38.4" customHeight="1" x14ac:dyDescent="0.25">
      <c r="A143" s="2">
        <v>1028</v>
      </c>
      <c r="B143" s="18" t="s">
        <v>289</v>
      </c>
      <c r="C143" s="65" t="s">
        <v>400</v>
      </c>
      <c r="D143" s="3" t="s">
        <v>780</v>
      </c>
      <c r="E143" s="103" t="s">
        <v>770</v>
      </c>
      <c r="F143" s="1" t="s">
        <v>77</v>
      </c>
      <c r="G143" s="1"/>
      <c r="H143" s="1"/>
      <c r="I143" s="1"/>
      <c r="J143" s="57" t="s">
        <v>100</v>
      </c>
      <c r="K143" s="73" t="e">
        <f t="shared" si="8"/>
        <v>#VALUE!</v>
      </c>
      <c r="L143" s="4" t="s">
        <v>100</v>
      </c>
      <c r="M143" s="8" t="str">
        <f t="shared" si="9"/>
        <v>PEN</v>
      </c>
      <c r="N143" s="10" t="e">
        <f t="shared" ca="1" si="10"/>
        <v>#VALUE!</v>
      </c>
      <c r="O143" s="4"/>
      <c r="P143" s="8" t="s">
        <v>280</v>
      </c>
      <c r="Q143" s="16" t="s">
        <v>82</v>
      </c>
      <c r="R143" s="1" t="s">
        <v>204</v>
      </c>
      <c r="S143" s="1" t="s">
        <v>230</v>
      </c>
      <c r="T143" s="1" t="s">
        <v>231</v>
      </c>
      <c r="U143" s="41" t="s">
        <v>230</v>
      </c>
    </row>
    <row r="144" spans="1:21" ht="38.4" customHeight="1" x14ac:dyDescent="0.25">
      <c r="A144" s="2">
        <v>1031</v>
      </c>
      <c r="B144" s="18" t="s">
        <v>290</v>
      </c>
      <c r="C144" s="65" t="s">
        <v>401</v>
      </c>
      <c r="D144" s="3" t="s">
        <v>743</v>
      </c>
      <c r="E144" s="103" t="s">
        <v>808</v>
      </c>
      <c r="F144" s="1" t="s">
        <v>77</v>
      </c>
      <c r="G144" s="1"/>
      <c r="H144" s="1"/>
      <c r="I144" s="1"/>
      <c r="J144" s="57" t="s">
        <v>100</v>
      </c>
      <c r="K144" s="73" t="e">
        <f t="shared" si="8"/>
        <v>#VALUE!</v>
      </c>
      <c r="L144" s="4" t="s">
        <v>100</v>
      </c>
      <c r="M144" s="8" t="str">
        <f t="shared" si="9"/>
        <v>PEN</v>
      </c>
      <c r="N144" s="10" t="e">
        <f t="shared" ca="1" si="10"/>
        <v>#VALUE!</v>
      </c>
      <c r="O144" s="4"/>
      <c r="P144" s="8" t="s">
        <v>280</v>
      </c>
      <c r="Q144" s="16" t="s">
        <v>82</v>
      </c>
      <c r="R144" s="1" t="s">
        <v>204</v>
      </c>
      <c r="S144" s="1" t="s">
        <v>230</v>
      </c>
      <c r="T144" s="1" t="s">
        <v>231</v>
      </c>
      <c r="U144" s="41" t="s">
        <v>230</v>
      </c>
    </row>
    <row r="145" spans="1:21" ht="38.4" customHeight="1" x14ac:dyDescent="0.25">
      <c r="A145" s="2">
        <v>1036</v>
      </c>
      <c r="B145" s="18" t="s">
        <v>291</v>
      </c>
      <c r="C145" s="65" t="s">
        <v>402</v>
      </c>
      <c r="D145" s="3" t="s">
        <v>744</v>
      </c>
      <c r="E145" s="103" t="s">
        <v>809</v>
      </c>
      <c r="F145" s="1" t="s">
        <v>77</v>
      </c>
      <c r="G145" s="1"/>
      <c r="H145" s="1"/>
      <c r="I145" s="1"/>
      <c r="J145" s="57" t="s">
        <v>100</v>
      </c>
      <c r="K145" s="73" t="e">
        <f t="shared" si="8"/>
        <v>#VALUE!</v>
      </c>
      <c r="L145" s="4" t="s">
        <v>100</v>
      </c>
      <c r="M145" s="8" t="str">
        <f t="shared" si="9"/>
        <v>PEN</v>
      </c>
      <c r="N145" s="10" t="e">
        <f t="shared" ca="1" si="10"/>
        <v>#VALUE!</v>
      </c>
      <c r="O145" s="4"/>
      <c r="P145" s="8" t="s">
        <v>280</v>
      </c>
      <c r="Q145" s="16" t="s">
        <v>82</v>
      </c>
      <c r="R145" s="1" t="s">
        <v>204</v>
      </c>
      <c r="S145" s="1" t="s">
        <v>230</v>
      </c>
      <c r="T145" s="1" t="s">
        <v>231</v>
      </c>
      <c r="U145" s="41" t="s">
        <v>230</v>
      </c>
    </row>
    <row r="146" spans="1:21" ht="38.4" customHeight="1" x14ac:dyDescent="0.25">
      <c r="A146" s="2">
        <v>1037</v>
      </c>
      <c r="B146" s="18" t="s">
        <v>292</v>
      </c>
      <c r="C146" s="65" t="s">
        <v>361</v>
      </c>
      <c r="D146" s="3" t="s">
        <v>744</v>
      </c>
      <c r="E146" s="103" t="s">
        <v>810</v>
      </c>
      <c r="F146" s="1" t="s">
        <v>77</v>
      </c>
      <c r="G146" s="1"/>
      <c r="H146" s="1"/>
      <c r="I146" s="1"/>
      <c r="J146" s="57" t="s">
        <v>100</v>
      </c>
      <c r="K146" s="73" t="e">
        <f t="shared" si="8"/>
        <v>#VALUE!</v>
      </c>
      <c r="L146" s="4" t="s">
        <v>100</v>
      </c>
      <c r="M146" s="8" t="str">
        <f t="shared" si="9"/>
        <v>PEN</v>
      </c>
      <c r="N146" s="10" t="e">
        <f t="shared" ca="1" si="10"/>
        <v>#VALUE!</v>
      </c>
      <c r="O146" s="4"/>
      <c r="P146" s="8" t="s">
        <v>280</v>
      </c>
      <c r="Q146" s="16" t="s">
        <v>82</v>
      </c>
      <c r="R146" s="1" t="s">
        <v>204</v>
      </c>
      <c r="S146" s="1" t="s">
        <v>230</v>
      </c>
      <c r="T146" s="1" t="s">
        <v>231</v>
      </c>
      <c r="U146" s="41" t="s">
        <v>230</v>
      </c>
    </row>
    <row r="147" spans="1:21" ht="38.4" customHeight="1" x14ac:dyDescent="0.25">
      <c r="A147" s="2">
        <v>1039</v>
      </c>
      <c r="B147" s="18" t="s">
        <v>293</v>
      </c>
      <c r="C147" s="65" t="s">
        <v>403</v>
      </c>
      <c r="D147" s="3" t="s">
        <v>811</v>
      </c>
      <c r="E147" s="103" t="s">
        <v>812</v>
      </c>
      <c r="F147" s="1" t="s">
        <v>77</v>
      </c>
      <c r="G147" s="1"/>
      <c r="H147" s="1"/>
      <c r="I147" s="1"/>
      <c r="J147" s="57" t="s">
        <v>100</v>
      </c>
      <c r="K147" s="73" t="e">
        <f t="shared" si="8"/>
        <v>#VALUE!</v>
      </c>
      <c r="L147" s="4" t="s">
        <v>100</v>
      </c>
      <c r="M147" s="8" t="str">
        <f t="shared" si="9"/>
        <v>PEN</v>
      </c>
      <c r="N147" s="10" t="e">
        <f t="shared" ca="1" si="10"/>
        <v>#VALUE!</v>
      </c>
      <c r="O147" s="4"/>
      <c r="P147" s="8" t="s">
        <v>280</v>
      </c>
      <c r="Q147" s="16" t="s">
        <v>38</v>
      </c>
      <c r="R147" s="1" t="s">
        <v>228</v>
      </c>
      <c r="S147" s="1" t="s">
        <v>230</v>
      </c>
      <c r="T147" s="1" t="s">
        <v>231</v>
      </c>
      <c r="U147" s="41" t="s">
        <v>230</v>
      </c>
    </row>
    <row r="148" spans="1:21" ht="38.4" customHeight="1" x14ac:dyDescent="0.25">
      <c r="A148" s="2">
        <v>1042</v>
      </c>
      <c r="B148" s="18" t="s">
        <v>294</v>
      </c>
      <c r="C148" s="65" t="s">
        <v>404</v>
      </c>
      <c r="D148" s="3" t="s">
        <v>764</v>
      </c>
      <c r="E148" s="103" t="s">
        <v>813</v>
      </c>
      <c r="F148" s="1" t="s">
        <v>77</v>
      </c>
      <c r="G148" s="1"/>
      <c r="H148" s="1"/>
      <c r="I148" s="1"/>
      <c r="J148" s="57" t="s">
        <v>100</v>
      </c>
      <c r="K148" s="73" t="e">
        <f t="shared" ref="K148:K164" si="11">IF(J148="-",IF(L148="-","FORA DE USO","CALIBRAR"),IF(L148="-","FORA DE USO",EDATE(J148,L148)))</f>
        <v>#VALUE!</v>
      </c>
      <c r="L148" s="4" t="s">
        <v>100</v>
      </c>
      <c r="M148" s="8" t="str">
        <f t="shared" si="9"/>
        <v>PEN</v>
      </c>
      <c r="N148" s="10" t="e">
        <f t="shared" ca="1" si="10"/>
        <v>#VALUE!</v>
      </c>
      <c r="O148" s="4"/>
      <c r="P148" s="8" t="s">
        <v>280</v>
      </c>
      <c r="Q148" s="16" t="s">
        <v>82</v>
      </c>
      <c r="R148" s="1" t="s">
        <v>204</v>
      </c>
      <c r="S148" s="1" t="s">
        <v>230</v>
      </c>
      <c r="T148" s="1" t="s">
        <v>231</v>
      </c>
      <c r="U148" s="41" t="s">
        <v>230</v>
      </c>
    </row>
    <row r="149" spans="1:21" ht="38.4" customHeight="1" x14ac:dyDescent="0.25">
      <c r="A149" s="2">
        <v>1319</v>
      </c>
      <c r="B149" s="18" t="s">
        <v>295</v>
      </c>
      <c r="C149" s="65" t="s">
        <v>405</v>
      </c>
      <c r="D149" s="3" t="s">
        <v>746</v>
      </c>
      <c r="E149" s="103" t="s">
        <v>814</v>
      </c>
      <c r="F149" s="1" t="s">
        <v>77</v>
      </c>
      <c r="G149" s="1"/>
      <c r="H149" s="1"/>
      <c r="I149" s="1"/>
      <c r="J149" s="57">
        <v>45637</v>
      </c>
      <c r="K149" s="73">
        <f t="shared" si="11"/>
        <v>46002</v>
      </c>
      <c r="L149" s="4">
        <v>12</v>
      </c>
      <c r="M149" s="8" t="str">
        <f t="shared" si="9"/>
        <v>PEN</v>
      </c>
      <c r="N149" s="10" t="str">
        <f t="shared" ca="1" si="10"/>
        <v>NÃO</v>
      </c>
      <c r="O149" s="4"/>
      <c r="P149" s="8" t="s">
        <v>280</v>
      </c>
      <c r="Q149" s="16" t="s">
        <v>82</v>
      </c>
      <c r="R149" s="1" t="s">
        <v>204</v>
      </c>
      <c r="S149" s="1" t="s">
        <v>231</v>
      </c>
      <c r="T149" s="1" t="s">
        <v>231</v>
      </c>
      <c r="U149" s="41" t="s">
        <v>230</v>
      </c>
    </row>
    <row r="150" spans="1:21" ht="38.4" customHeight="1" x14ac:dyDescent="0.25">
      <c r="A150" s="2">
        <v>1341</v>
      </c>
      <c r="B150" s="18" t="s">
        <v>298</v>
      </c>
      <c r="C150" s="65" t="s">
        <v>406</v>
      </c>
      <c r="D150" s="3" t="s">
        <v>640</v>
      </c>
      <c r="E150" s="103" t="s">
        <v>665</v>
      </c>
      <c r="F150" s="1" t="s">
        <v>299</v>
      </c>
      <c r="G150" s="1"/>
      <c r="H150" s="1"/>
      <c r="I150" s="1"/>
      <c r="J150" s="57">
        <v>45637</v>
      </c>
      <c r="K150" s="73">
        <f t="shared" si="11"/>
        <v>46002</v>
      </c>
      <c r="L150" s="4">
        <v>12</v>
      </c>
      <c r="M150" s="8" t="str">
        <f t="shared" si="9"/>
        <v>PEN</v>
      </c>
      <c r="N150" s="10" t="str">
        <f t="shared" ca="1" si="10"/>
        <v>NÃO</v>
      </c>
      <c r="O150" s="4"/>
      <c r="P150" s="8" t="s">
        <v>280</v>
      </c>
      <c r="Q150" s="16" t="s">
        <v>82</v>
      </c>
      <c r="R150" s="1" t="s">
        <v>204</v>
      </c>
      <c r="S150" s="1" t="s">
        <v>231</v>
      </c>
      <c r="T150" s="1" t="s">
        <v>231</v>
      </c>
      <c r="U150" s="20" t="s">
        <v>230</v>
      </c>
    </row>
    <row r="151" spans="1:21" ht="38.4" customHeight="1" x14ac:dyDescent="0.25">
      <c r="A151" s="2">
        <v>1345</v>
      </c>
      <c r="B151" s="18" t="s">
        <v>300</v>
      </c>
      <c r="C151" s="65" t="s">
        <v>406</v>
      </c>
      <c r="D151" s="3" t="s">
        <v>640</v>
      </c>
      <c r="E151" s="103" t="s">
        <v>665</v>
      </c>
      <c r="F151" s="1" t="s">
        <v>299</v>
      </c>
      <c r="G151" s="1"/>
      <c r="H151" s="1"/>
      <c r="I151" s="1"/>
      <c r="J151" s="57">
        <v>45637</v>
      </c>
      <c r="K151" s="73">
        <f t="shared" si="11"/>
        <v>46002</v>
      </c>
      <c r="L151" s="70">
        <v>12</v>
      </c>
      <c r="M151" s="8" t="str">
        <f t="shared" si="9"/>
        <v>PEN</v>
      </c>
      <c r="N151" s="10" t="str">
        <f t="shared" ca="1" si="10"/>
        <v>NÃO</v>
      </c>
      <c r="O151" s="4"/>
      <c r="P151" s="8" t="s">
        <v>280</v>
      </c>
      <c r="Q151" s="16" t="s">
        <v>82</v>
      </c>
      <c r="R151" s="1" t="s">
        <v>204</v>
      </c>
      <c r="S151" s="1" t="s">
        <v>231</v>
      </c>
      <c r="T151" s="1" t="s">
        <v>231</v>
      </c>
      <c r="U151" s="20" t="s">
        <v>230</v>
      </c>
    </row>
    <row r="152" spans="1:21" ht="38.4" customHeight="1" x14ac:dyDescent="0.25">
      <c r="A152" s="2">
        <v>1346</v>
      </c>
      <c r="B152" s="18" t="s">
        <v>301</v>
      </c>
      <c r="C152" s="65" t="s">
        <v>407</v>
      </c>
      <c r="D152" s="3" t="s">
        <v>815</v>
      </c>
      <c r="E152" s="103" t="s">
        <v>665</v>
      </c>
      <c r="F152" s="1" t="s">
        <v>299</v>
      </c>
      <c r="G152" s="1"/>
      <c r="H152" s="1"/>
      <c r="I152" s="1"/>
      <c r="J152" s="57">
        <v>45635</v>
      </c>
      <c r="K152" s="73">
        <f t="shared" si="11"/>
        <v>46000</v>
      </c>
      <c r="L152" s="4">
        <v>12</v>
      </c>
      <c r="M152" s="8" t="str">
        <f t="shared" si="9"/>
        <v>PEN</v>
      </c>
      <c r="N152" s="10" t="str">
        <f t="shared" ca="1" si="10"/>
        <v>NÃO</v>
      </c>
      <c r="O152" s="4"/>
      <c r="P152" s="8" t="s">
        <v>280</v>
      </c>
      <c r="Q152" s="16" t="s">
        <v>82</v>
      </c>
      <c r="R152" s="1" t="s">
        <v>204</v>
      </c>
      <c r="S152" s="1" t="s">
        <v>231</v>
      </c>
      <c r="T152" s="1" t="s">
        <v>231</v>
      </c>
      <c r="U152" s="20" t="s">
        <v>230</v>
      </c>
    </row>
    <row r="153" spans="1:21" ht="38.4" customHeight="1" x14ac:dyDescent="0.25">
      <c r="A153" s="2">
        <v>1347</v>
      </c>
      <c r="B153" s="18" t="s">
        <v>302</v>
      </c>
      <c r="C153" s="65" t="s">
        <v>408</v>
      </c>
      <c r="D153" s="3" t="s">
        <v>816</v>
      </c>
      <c r="E153" s="103" t="s">
        <v>665</v>
      </c>
      <c r="F153" s="1" t="s">
        <v>299</v>
      </c>
      <c r="G153" s="1"/>
      <c r="H153" s="1" t="s">
        <v>639</v>
      </c>
      <c r="I153" s="1"/>
      <c r="J153" s="57">
        <v>45635</v>
      </c>
      <c r="K153" s="73">
        <f t="shared" si="11"/>
        <v>46000</v>
      </c>
      <c r="L153" s="4">
        <v>12</v>
      </c>
      <c r="M153" s="8" t="str">
        <f t="shared" si="9"/>
        <v>PEN</v>
      </c>
      <c r="N153" s="10" t="str">
        <f t="shared" ca="1" si="10"/>
        <v>NÃO</v>
      </c>
      <c r="O153" s="4"/>
      <c r="P153" s="8" t="s">
        <v>280</v>
      </c>
      <c r="Q153" s="16" t="s">
        <v>82</v>
      </c>
      <c r="R153" s="1" t="s">
        <v>204</v>
      </c>
      <c r="S153" s="1" t="s">
        <v>231</v>
      </c>
      <c r="T153" s="1" t="s">
        <v>231</v>
      </c>
      <c r="U153" s="20" t="s">
        <v>230</v>
      </c>
    </row>
    <row r="154" spans="1:21" ht="38.4" customHeight="1" x14ac:dyDescent="0.25">
      <c r="A154" s="2">
        <v>1348</v>
      </c>
      <c r="B154" s="18" t="s">
        <v>303</v>
      </c>
      <c r="C154" s="65" t="s">
        <v>409</v>
      </c>
      <c r="D154" s="3" t="s">
        <v>817</v>
      </c>
      <c r="E154" s="103" t="s">
        <v>665</v>
      </c>
      <c r="F154" s="1" t="s">
        <v>299</v>
      </c>
      <c r="G154" s="1"/>
      <c r="H154" s="1"/>
      <c r="I154" s="1"/>
      <c r="J154" s="57">
        <v>45635</v>
      </c>
      <c r="K154" s="73">
        <f t="shared" si="11"/>
        <v>46000</v>
      </c>
      <c r="L154" s="4">
        <v>12</v>
      </c>
      <c r="M154" s="8" t="str">
        <f t="shared" si="9"/>
        <v>PEN</v>
      </c>
      <c r="N154" s="10" t="str">
        <f t="shared" ca="1" si="10"/>
        <v>NÃO</v>
      </c>
      <c r="O154" s="4"/>
      <c r="P154" s="8" t="s">
        <v>280</v>
      </c>
      <c r="Q154" s="16" t="s">
        <v>82</v>
      </c>
      <c r="R154" s="1" t="s">
        <v>204</v>
      </c>
      <c r="S154" s="1" t="s">
        <v>231</v>
      </c>
      <c r="T154" s="1" t="s">
        <v>231</v>
      </c>
      <c r="U154" s="20" t="s">
        <v>230</v>
      </c>
    </row>
    <row r="155" spans="1:21" ht="38.4" customHeight="1" x14ac:dyDescent="0.25">
      <c r="A155" s="2">
        <v>1350</v>
      </c>
      <c r="B155" s="18" t="s">
        <v>304</v>
      </c>
      <c r="C155" s="65" t="s">
        <v>410</v>
      </c>
      <c r="D155" s="3" t="s">
        <v>818</v>
      </c>
      <c r="E155" s="103" t="s">
        <v>665</v>
      </c>
      <c r="F155" s="1" t="s">
        <v>299</v>
      </c>
      <c r="G155" s="1"/>
      <c r="H155" s="1"/>
      <c r="I155" s="1"/>
      <c r="J155" s="57">
        <v>45637</v>
      </c>
      <c r="K155" s="73">
        <f t="shared" si="11"/>
        <v>46002</v>
      </c>
      <c r="L155" s="4">
        <v>12</v>
      </c>
      <c r="M155" s="8" t="str">
        <f t="shared" si="9"/>
        <v>PEN</v>
      </c>
      <c r="N155" s="10" t="str">
        <f t="shared" ca="1" si="10"/>
        <v>NÃO</v>
      </c>
      <c r="O155" s="4"/>
      <c r="P155" s="8" t="s">
        <v>280</v>
      </c>
      <c r="Q155" s="16" t="s">
        <v>82</v>
      </c>
      <c r="R155" s="1" t="s">
        <v>228</v>
      </c>
      <c r="S155" s="1" t="s">
        <v>231</v>
      </c>
      <c r="T155" s="1" t="s">
        <v>231</v>
      </c>
      <c r="U155" s="20" t="s">
        <v>230</v>
      </c>
    </row>
    <row r="156" spans="1:21" ht="38.4" customHeight="1" x14ac:dyDescent="0.25">
      <c r="A156" s="2">
        <v>1352</v>
      </c>
      <c r="B156" s="18" t="s">
        <v>305</v>
      </c>
      <c r="C156" s="65" t="s">
        <v>411</v>
      </c>
      <c r="D156" s="3" t="s">
        <v>819</v>
      </c>
      <c r="E156" s="103" t="s">
        <v>665</v>
      </c>
      <c r="F156" s="1" t="s">
        <v>299</v>
      </c>
      <c r="G156" s="1"/>
      <c r="H156" s="1"/>
      <c r="I156" s="1"/>
      <c r="J156" s="57">
        <v>45635</v>
      </c>
      <c r="K156" s="73">
        <f t="shared" si="11"/>
        <v>46000</v>
      </c>
      <c r="L156" s="4">
        <v>12</v>
      </c>
      <c r="M156" s="8" t="str">
        <f t="shared" si="9"/>
        <v>PEN</v>
      </c>
      <c r="N156" s="10" t="str">
        <f t="shared" ca="1" si="10"/>
        <v>NÃO</v>
      </c>
      <c r="O156" s="4"/>
      <c r="P156" s="8" t="s">
        <v>280</v>
      </c>
      <c r="Q156" s="16" t="s">
        <v>82</v>
      </c>
      <c r="R156" s="1" t="s">
        <v>228</v>
      </c>
      <c r="S156" s="1" t="s">
        <v>231</v>
      </c>
      <c r="T156" s="1" t="s">
        <v>231</v>
      </c>
      <c r="U156" s="20" t="s">
        <v>230</v>
      </c>
    </row>
    <row r="157" spans="1:21" ht="38.4" customHeight="1" x14ac:dyDescent="0.25">
      <c r="A157" s="2">
        <v>1353</v>
      </c>
      <c r="B157" s="18" t="s">
        <v>306</v>
      </c>
      <c r="C157" s="65" t="s">
        <v>412</v>
      </c>
      <c r="D157" s="3" t="s">
        <v>820</v>
      </c>
      <c r="E157" s="103" t="s">
        <v>665</v>
      </c>
      <c r="F157" s="1" t="s">
        <v>299</v>
      </c>
      <c r="G157" s="1"/>
      <c r="H157" s="1"/>
      <c r="I157" s="1"/>
      <c r="J157" s="57">
        <v>45637</v>
      </c>
      <c r="K157" s="73">
        <f t="shared" si="11"/>
        <v>46002</v>
      </c>
      <c r="L157" s="4">
        <v>12</v>
      </c>
      <c r="M157" s="8" t="str">
        <f t="shared" si="9"/>
        <v>PEN</v>
      </c>
      <c r="N157" s="10" t="str">
        <f t="shared" ca="1" si="10"/>
        <v>NÃO</v>
      </c>
      <c r="O157" s="4"/>
      <c r="P157" s="8" t="s">
        <v>280</v>
      </c>
      <c r="Q157" s="16" t="s">
        <v>82</v>
      </c>
      <c r="R157" s="1" t="s">
        <v>204</v>
      </c>
      <c r="S157" s="1" t="s">
        <v>231</v>
      </c>
      <c r="T157" s="1" t="s">
        <v>231</v>
      </c>
      <c r="U157" s="20" t="s">
        <v>230</v>
      </c>
    </row>
    <row r="158" spans="1:21" ht="38.4" customHeight="1" x14ac:dyDescent="0.25">
      <c r="A158" s="2">
        <v>1355</v>
      </c>
      <c r="B158" s="18" t="s">
        <v>307</v>
      </c>
      <c r="C158" s="65" t="s">
        <v>368</v>
      </c>
      <c r="D158" s="3" t="s">
        <v>760</v>
      </c>
      <c r="E158" s="103" t="s">
        <v>665</v>
      </c>
      <c r="F158" s="1" t="s">
        <v>299</v>
      </c>
      <c r="G158" s="1"/>
      <c r="H158" s="1"/>
      <c r="I158" s="1"/>
      <c r="J158" s="57">
        <v>45637</v>
      </c>
      <c r="K158" s="73">
        <f t="shared" si="11"/>
        <v>46002</v>
      </c>
      <c r="L158" s="4">
        <v>12</v>
      </c>
      <c r="M158" s="8" t="str">
        <f t="shared" si="9"/>
        <v>PEN</v>
      </c>
      <c r="N158" s="10" t="str">
        <f t="shared" ca="1" si="10"/>
        <v>NÃO</v>
      </c>
      <c r="O158" s="4"/>
      <c r="P158" s="8" t="s">
        <v>280</v>
      </c>
      <c r="Q158" s="16" t="s">
        <v>82</v>
      </c>
      <c r="R158" s="1" t="s">
        <v>204</v>
      </c>
      <c r="S158" s="1" t="s">
        <v>231</v>
      </c>
      <c r="T158" s="1" t="s">
        <v>231</v>
      </c>
      <c r="U158" s="20" t="s">
        <v>230</v>
      </c>
    </row>
    <row r="159" spans="1:21" ht="38.4" customHeight="1" x14ac:dyDescent="0.25">
      <c r="A159" s="2">
        <v>1356</v>
      </c>
      <c r="B159" s="18" t="s">
        <v>308</v>
      </c>
      <c r="C159" s="65" t="s">
        <v>368</v>
      </c>
      <c r="D159" s="3" t="s">
        <v>760</v>
      </c>
      <c r="E159" s="103" t="s">
        <v>665</v>
      </c>
      <c r="F159" s="1" t="s">
        <v>299</v>
      </c>
      <c r="G159" s="1"/>
      <c r="H159" s="1"/>
      <c r="I159" s="1"/>
      <c r="J159" s="57">
        <v>45637</v>
      </c>
      <c r="K159" s="73">
        <f t="shared" si="11"/>
        <v>46002</v>
      </c>
      <c r="L159" s="4">
        <v>12</v>
      </c>
      <c r="M159" s="8" t="str">
        <f t="shared" si="9"/>
        <v>PEN</v>
      </c>
      <c r="N159" s="10" t="str">
        <f t="shared" ca="1" si="10"/>
        <v>NÃO</v>
      </c>
      <c r="O159" s="4"/>
      <c r="P159" s="8" t="s">
        <v>280</v>
      </c>
      <c r="Q159" s="16" t="s">
        <v>82</v>
      </c>
      <c r="R159" s="1" t="s">
        <v>204</v>
      </c>
      <c r="S159" s="1" t="s">
        <v>231</v>
      </c>
      <c r="T159" s="1" t="s">
        <v>231</v>
      </c>
      <c r="U159" s="20" t="s">
        <v>230</v>
      </c>
    </row>
    <row r="160" spans="1:21" ht="38.4" customHeight="1" x14ac:dyDescent="0.25">
      <c r="A160" s="2">
        <v>1491</v>
      </c>
      <c r="B160" s="18" t="s">
        <v>414</v>
      </c>
      <c r="C160" s="108" t="s">
        <v>356</v>
      </c>
      <c r="D160" s="3" t="s">
        <v>738</v>
      </c>
      <c r="E160" s="103" t="s">
        <v>821</v>
      </c>
      <c r="F160" s="1" t="s">
        <v>78</v>
      </c>
      <c r="G160" s="1"/>
      <c r="H160" s="1"/>
      <c r="I160" s="1"/>
      <c r="J160" s="57" t="s">
        <v>100</v>
      </c>
      <c r="K160" s="73" t="e">
        <f t="shared" si="11"/>
        <v>#VALUE!</v>
      </c>
      <c r="L160" s="4">
        <v>12</v>
      </c>
      <c r="M160" s="8" t="str">
        <f t="shared" si="9"/>
        <v>PEN</v>
      </c>
      <c r="N160" s="10" t="e">
        <f t="shared" ca="1" si="10"/>
        <v>#VALUE!</v>
      </c>
      <c r="O160" s="4"/>
      <c r="P160" s="8" t="s">
        <v>280</v>
      </c>
      <c r="Q160" s="16" t="s">
        <v>82</v>
      </c>
      <c r="R160" s="1" t="s">
        <v>204</v>
      </c>
      <c r="S160" s="1" t="s">
        <v>230</v>
      </c>
      <c r="T160" s="1" t="s">
        <v>231</v>
      </c>
      <c r="U160" s="20" t="s">
        <v>230</v>
      </c>
    </row>
    <row r="161" spans="1:21" ht="38.4" customHeight="1" x14ac:dyDescent="0.25">
      <c r="A161" s="2">
        <v>1344</v>
      </c>
      <c r="B161" s="18" t="s">
        <v>415</v>
      </c>
      <c r="C161" s="86" t="s">
        <v>640</v>
      </c>
      <c r="D161" s="3" t="s">
        <v>822</v>
      </c>
      <c r="E161" s="103" t="s">
        <v>665</v>
      </c>
      <c r="F161" s="1" t="s">
        <v>299</v>
      </c>
      <c r="G161" s="1"/>
      <c r="H161" s="1"/>
      <c r="I161" s="1"/>
      <c r="J161" s="57">
        <v>45637</v>
      </c>
      <c r="K161" s="73">
        <f t="shared" si="11"/>
        <v>46002</v>
      </c>
      <c r="L161" s="4">
        <v>12</v>
      </c>
      <c r="M161" s="8" t="str">
        <f t="shared" si="9"/>
        <v>PEN</v>
      </c>
      <c r="N161" s="10" t="str">
        <f t="shared" ca="1" si="10"/>
        <v>NÃO</v>
      </c>
      <c r="O161" s="4"/>
      <c r="P161" s="8" t="s">
        <v>280</v>
      </c>
      <c r="Q161" s="16" t="s">
        <v>82</v>
      </c>
      <c r="R161" s="1" t="s">
        <v>204</v>
      </c>
      <c r="S161" s="1" t="s">
        <v>231</v>
      </c>
      <c r="T161" s="1" t="s">
        <v>231</v>
      </c>
      <c r="U161" s="20" t="s">
        <v>230</v>
      </c>
    </row>
    <row r="162" spans="1:21" ht="38.4" customHeight="1" x14ac:dyDescent="0.25">
      <c r="A162" s="2">
        <v>1597</v>
      </c>
      <c r="B162" s="18" t="s">
        <v>416</v>
      </c>
      <c r="C162" s="86" t="s">
        <v>641</v>
      </c>
      <c r="D162" s="3" t="s">
        <v>824</v>
      </c>
      <c r="E162" s="103" t="s">
        <v>665</v>
      </c>
      <c r="F162" s="1" t="s">
        <v>77</v>
      </c>
      <c r="G162" s="1"/>
      <c r="H162" s="1"/>
      <c r="I162" s="1"/>
      <c r="J162" s="57">
        <v>45635</v>
      </c>
      <c r="K162" s="73">
        <f t="shared" si="11"/>
        <v>46000</v>
      </c>
      <c r="L162" s="4">
        <v>12</v>
      </c>
      <c r="M162" s="8" t="str">
        <f t="shared" si="9"/>
        <v>PEN</v>
      </c>
      <c r="N162" s="10" t="str">
        <f t="shared" ca="1" si="10"/>
        <v>NÃO</v>
      </c>
      <c r="O162" s="4"/>
      <c r="P162" s="8" t="s">
        <v>280</v>
      </c>
      <c r="Q162" s="16" t="s">
        <v>82</v>
      </c>
      <c r="R162" s="1" t="s">
        <v>204</v>
      </c>
      <c r="S162" s="1" t="s">
        <v>231</v>
      </c>
      <c r="T162" s="1" t="s">
        <v>231</v>
      </c>
      <c r="U162" s="20" t="s">
        <v>230</v>
      </c>
    </row>
    <row r="163" spans="1:21" ht="38.4" customHeight="1" x14ac:dyDescent="0.25">
      <c r="A163" s="2">
        <v>1517</v>
      </c>
      <c r="B163" s="18" t="s">
        <v>418</v>
      </c>
      <c r="C163" s="108" t="s">
        <v>825</v>
      </c>
      <c r="D163" s="3" t="s">
        <v>778</v>
      </c>
      <c r="E163" s="103" t="s">
        <v>826</v>
      </c>
      <c r="F163" s="1" t="s">
        <v>78</v>
      </c>
      <c r="G163" s="1"/>
      <c r="H163" s="1"/>
      <c r="I163" s="1"/>
      <c r="J163" s="57" t="s">
        <v>100</v>
      </c>
      <c r="K163" s="73" t="e">
        <f t="shared" si="11"/>
        <v>#VALUE!</v>
      </c>
      <c r="L163" s="4">
        <v>12</v>
      </c>
      <c r="M163" s="8" t="str">
        <f t="shared" si="9"/>
        <v>PEN</v>
      </c>
      <c r="N163" s="10" t="e">
        <f t="shared" ca="1" si="10"/>
        <v>#VALUE!</v>
      </c>
      <c r="O163" s="4"/>
      <c r="P163" s="8" t="s">
        <v>130</v>
      </c>
      <c r="Q163" s="16" t="s">
        <v>82</v>
      </c>
      <c r="R163" s="1" t="s">
        <v>204</v>
      </c>
      <c r="S163" s="1" t="s">
        <v>230</v>
      </c>
      <c r="T163" s="1" t="s">
        <v>230</v>
      </c>
      <c r="U163" s="20" t="s">
        <v>231</v>
      </c>
    </row>
    <row r="164" spans="1:21" ht="38.4" customHeight="1" x14ac:dyDescent="0.25">
      <c r="A164" s="2">
        <v>1598</v>
      </c>
      <c r="B164" s="18" t="s">
        <v>419</v>
      </c>
      <c r="C164" s="108" t="s">
        <v>827</v>
      </c>
      <c r="D164" s="3" t="s">
        <v>828</v>
      </c>
      <c r="E164" s="103" t="s">
        <v>665</v>
      </c>
      <c r="F164" s="1" t="s">
        <v>77</v>
      </c>
      <c r="G164" s="1"/>
      <c r="H164" s="1"/>
      <c r="I164" s="1"/>
      <c r="J164" s="57" t="s">
        <v>100</v>
      </c>
      <c r="K164" s="73" t="e">
        <f t="shared" si="11"/>
        <v>#VALUE!</v>
      </c>
      <c r="L164" s="4">
        <v>12</v>
      </c>
      <c r="M164" s="8" t="str">
        <f t="shared" si="9"/>
        <v>PEN</v>
      </c>
      <c r="N164" s="10" t="e">
        <f t="shared" ca="1" si="10"/>
        <v>#VALUE!</v>
      </c>
      <c r="O164" s="4"/>
      <c r="P164" s="8" t="s">
        <v>280</v>
      </c>
      <c r="Q164" s="16" t="s">
        <v>82</v>
      </c>
      <c r="R164" s="1" t="s">
        <v>204</v>
      </c>
      <c r="S164" s="1" t="s">
        <v>230</v>
      </c>
      <c r="T164" s="1" t="s">
        <v>231</v>
      </c>
      <c r="U164" s="20" t="s">
        <v>231</v>
      </c>
    </row>
    <row r="165" spans="1:21" ht="38.4" customHeight="1" x14ac:dyDescent="0.25">
      <c r="A165" s="2">
        <v>1395</v>
      </c>
      <c r="B165" s="18" t="s">
        <v>420</v>
      </c>
      <c r="C165" s="108" t="s">
        <v>829</v>
      </c>
      <c r="D165" s="3" t="s">
        <v>830</v>
      </c>
      <c r="E165" s="103" t="s">
        <v>831</v>
      </c>
      <c r="F165" s="1" t="s">
        <v>222</v>
      </c>
      <c r="G165" s="1"/>
      <c r="H165" s="1"/>
      <c r="I165" s="1"/>
      <c r="J165" s="57">
        <v>45632</v>
      </c>
      <c r="K165" s="73">
        <v>46022</v>
      </c>
      <c r="L165" s="4">
        <v>12</v>
      </c>
      <c r="M165" s="8" t="str">
        <f t="shared" si="9"/>
        <v>PAQ</v>
      </c>
      <c r="N165" s="10" t="str">
        <f t="shared" ca="1" si="10"/>
        <v>NÃO</v>
      </c>
      <c r="O165" s="4"/>
      <c r="P165" s="8" t="s">
        <v>280</v>
      </c>
      <c r="Q165" s="16" t="s">
        <v>82</v>
      </c>
      <c r="R165" s="1" t="s">
        <v>204</v>
      </c>
      <c r="S165" s="1" t="s">
        <v>231</v>
      </c>
      <c r="T165" s="1" t="s">
        <v>231</v>
      </c>
      <c r="U165" s="20" t="s">
        <v>230</v>
      </c>
    </row>
    <row r="166" spans="1:21" ht="38.4" customHeight="1" x14ac:dyDescent="0.25">
      <c r="A166" s="2">
        <v>701</v>
      </c>
      <c r="B166" s="18" t="s">
        <v>421</v>
      </c>
      <c r="C166" s="108" t="s">
        <v>832</v>
      </c>
      <c r="D166" s="3" t="s">
        <v>833</v>
      </c>
      <c r="E166" s="103" t="s">
        <v>834</v>
      </c>
      <c r="F166" s="1" t="s">
        <v>222</v>
      </c>
      <c r="G166" s="1"/>
      <c r="H166" s="1"/>
      <c r="I166" s="1"/>
      <c r="J166" s="57">
        <v>45215</v>
      </c>
      <c r="K166" s="73">
        <v>45596</v>
      </c>
      <c r="L166" s="4">
        <v>12</v>
      </c>
      <c r="M166" s="8" t="str">
        <f t="shared" si="9"/>
        <v>PAQ</v>
      </c>
      <c r="N166" s="10" t="str">
        <f t="shared" ca="1" si="10"/>
        <v>SIM</v>
      </c>
      <c r="O166" s="4"/>
      <c r="P166" s="8" t="s">
        <v>280</v>
      </c>
      <c r="Q166" s="16" t="s">
        <v>82</v>
      </c>
      <c r="R166" s="1" t="s">
        <v>204</v>
      </c>
      <c r="S166" s="1" t="s">
        <v>231</v>
      </c>
      <c r="T166" s="1" t="s">
        <v>231</v>
      </c>
      <c r="U166" s="20" t="s">
        <v>230</v>
      </c>
    </row>
    <row r="167" spans="1:21" ht="38.4" customHeight="1" x14ac:dyDescent="0.25">
      <c r="A167" s="2">
        <v>469</v>
      </c>
      <c r="B167" s="18" t="s">
        <v>422</v>
      </c>
      <c r="C167" s="66"/>
      <c r="D167" s="3" t="s">
        <v>835</v>
      </c>
      <c r="E167" s="103" t="s">
        <v>836</v>
      </c>
      <c r="F167" s="1" t="s">
        <v>423</v>
      </c>
      <c r="G167" s="1"/>
      <c r="H167" s="1"/>
      <c r="I167" s="1"/>
      <c r="J167" s="57">
        <v>45040</v>
      </c>
      <c r="K167" s="73">
        <v>46142</v>
      </c>
      <c r="L167" s="4">
        <v>36</v>
      </c>
      <c r="M167" s="8" t="str">
        <f t="shared" si="9"/>
        <v>PAQ</v>
      </c>
      <c r="N167" s="10" t="str">
        <f t="shared" ca="1" si="10"/>
        <v>NÃO</v>
      </c>
      <c r="O167" s="4"/>
      <c r="P167" s="8" t="s">
        <v>280</v>
      </c>
      <c r="Q167" s="16" t="s">
        <v>82</v>
      </c>
      <c r="R167" s="1" t="s">
        <v>204</v>
      </c>
      <c r="S167" s="1" t="s">
        <v>231</v>
      </c>
      <c r="T167" s="1" t="s">
        <v>231</v>
      </c>
      <c r="U167" s="20" t="s">
        <v>230</v>
      </c>
    </row>
    <row r="168" spans="1:21" ht="38.4" customHeight="1" x14ac:dyDescent="0.25">
      <c r="A168" s="2">
        <v>1581</v>
      </c>
      <c r="B168" s="18" t="s">
        <v>424</v>
      </c>
      <c r="C168" s="74" t="s">
        <v>526</v>
      </c>
      <c r="D168" s="3" t="s">
        <v>837</v>
      </c>
      <c r="E168" s="103" t="s">
        <v>665</v>
      </c>
      <c r="F168" s="1" t="s">
        <v>299</v>
      </c>
      <c r="G168" s="1"/>
      <c r="H168" s="1"/>
      <c r="I168" s="1"/>
      <c r="J168" s="57" t="s">
        <v>100</v>
      </c>
      <c r="K168" s="73"/>
      <c r="L168" s="4"/>
      <c r="M168" s="8" t="str">
        <f t="shared" si="9"/>
        <v>PRO</v>
      </c>
      <c r="N168" s="10" t="str">
        <f t="shared" ca="1" si="10"/>
        <v/>
      </c>
      <c r="O168" s="4"/>
      <c r="P168" s="8" t="s">
        <v>130</v>
      </c>
      <c r="Q168" s="16" t="s">
        <v>82</v>
      </c>
      <c r="R168" s="1"/>
      <c r="S168" s="1" t="s">
        <v>230</v>
      </c>
      <c r="T168" s="1" t="s">
        <v>231</v>
      </c>
      <c r="U168" s="41" t="s">
        <v>230</v>
      </c>
    </row>
    <row r="169" spans="1:21" ht="38.4" customHeight="1" x14ac:dyDescent="0.25">
      <c r="A169" s="2">
        <v>1580</v>
      </c>
      <c r="B169" s="18" t="s">
        <v>425</v>
      </c>
      <c r="C169" s="74" t="s">
        <v>527</v>
      </c>
      <c r="D169" s="3" t="s">
        <v>837</v>
      </c>
      <c r="E169" s="103" t="s">
        <v>665</v>
      </c>
      <c r="F169" s="1" t="s">
        <v>299</v>
      </c>
      <c r="G169" s="1"/>
      <c r="H169" s="1"/>
      <c r="I169" s="1"/>
      <c r="J169" s="57" t="s">
        <v>100</v>
      </c>
      <c r="K169" s="73"/>
      <c r="L169" s="4"/>
      <c r="M169" s="8" t="str">
        <f t="shared" si="9"/>
        <v>PRO</v>
      </c>
      <c r="N169" s="10" t="str">
        <f t="shared" ca="1" si="10"/>
        <v/>
      </c>
      <c r="O169" s="4"/>
      <c r="P169" s="8" t="s">
        <v>130</v>
      </c>
      <c r="Q169" s="16" t="s">
        <v>82</v>
      </c>
      <c r="R169" s="1"/>
      <c r="S169" s="1" t="s">
        <v>230</v>
      </c>
      <c r="T169" s="1" t="s">
        <v>231</v>
      </c>
      <c r="U169" s="41" t="s">
        <v>230</v>
      </c>
    </row>
    <row r="170" spans="1:21" ht="38.4" customHeight="1" x14ac:dyDescent="0.25">
      <c r="A170" s="2">
        <v>1579</v>
      </c>
      <c r="B170" s="18" t="s">
        <v>426</v>
      </c>
      <c r="C170" s="74" t="s">
        <v>526</v>
      </c>
      <c r="D170" s="3" t="s">
        <v>837</v>
      </c>
      <c r="E170" s="103" t="s">
        <v>665</v>
      </c>
      <c r="F170" s="1" t="s">
        <v>299</v>
      </c>
      <c r="G170" s="1"/>
      <c r="H170" s="1"/>
      <c r="I170" s="1"/>
      <c r="J170" s="57" t="s">
        <v>100</v>
      </c>
      <c r="K170" s="73"/>
      <c r="L170" s="4"/>
      <c r="M170" s="8" t="str">
        <f t="shared" si="9"/>
        <v>PRO</v>
      </c>
      <c r="N170" s="10" t="str">
        <f t="shared" ca="1" si="10"/>
        <v/>
      </c>
      <c r="O170" s="4"/>
      <c r="P170" s="8" t="s">
        <v>280</v>
      </c>
      <c r="Q170" s="16" t="s">
        <v>82</v>
      </c>
      <c r="R170" s="1"/>
      <c r="S170" s="1" t="s">
        <v>230</v>
      </c>
      <c r="T170" s="1" t="s">
        <v>231</v>
      </c>
      <c r="U170" s="41" t="s">
        <v>230</v>
      </c>
    </row>
    <row r="171" spans="1:21" ht="38.4" customHeight="1" x14ac:dyDescent="0.25">
      <c r="A171" s="2">
        <v>1578</v>
      </c>
      <c r="B171" s="18" t="s">
        <v>427</v>
      </c>
      <c r="C171" s="74" t="s">
        <v>526</v>
      </c>
      <c r="D171" s="3" t="s">
        <v>837</v>
      </c>
      <c r="E171" s="103" t="s">
        <v>665</v>
      </c>
      <c r="F171" s="1" t="s">
        <v>299</v>
      </c>
      <c r="G171" s="1"/>
      <c r="H171" s="1"/>
      <c r="I171" s="1"/>
      <c r="J171" s="57" t="s">
        <v>100</v>
      </c>
      <c r="K171" s="73"/>
      <c r="L171" s="4"/>
      <c r="M171" s="8" t="str">
        <f t="shared" si="9"/>
        <v>PRO</v>
      </c>
      <c r="N171" s="10" t="str">
        <f t="shared" ca="1" si="10"/>
        <v/>
      </c>
      <c r="O171" s="4"/>
      <c r="P171" s="8" t="s">
        <v>130</v>
      </c>
      <c r="Q171" s="16" t="s">
        <v>82</v>
      </c>
      <c r="R171" s="1"/>
      <c r="S171" s="1" t="s">
        <v>230</v>
      </c>
      <c r="T171" s="1" t="s">
        <v>231</v>
      </c>
      <c r="U171" s="41" t="s">
        <v>230</v>
      </c>
    </row>
    <row r="172" spans="1:21" ht="38.4" customHeight="1" x14ac:dyDescent="0.25">
      <c r="A172" s="2">
        <v>1577</v>
      </c>
      <c r="B172" s="18" t="s">
        <v>428</v>
      </c>
      <c r="C172" s="74" t="s">
        <v>526</v>
      </c>
      <c r="D172" s="3" t="s">
        <v>837</v>
      </c>
      <c r="E172" s="103" t="s">
        <v>665</v>
      </c>
      <c r="F172" s="1" t="s">
        <v>299</v>
      </c>
      <c r="G172" s="1"/>
      <c r="H172" s="1"/>
      <c r="I172" s="1"/>
      <c r="J172" s="57" t="s">
        <v>100</v>
      </c>
      <c r="K172" s="73"/>
      <c r="L172" s="4"/>
      <c r="M172" s="8" t="str">
        <f t="shared" si="9"/>
        <v>PRO</v>
      </c>
      <c r="N172" s="10" t="str">
        <f t="shared" ca="1" si="10"/>
        <v/>
      </c>
      <c r="O172" s="4"/>
      <c r="P172" s="8" t="s">
        <v>130</v>
      </c>
      <c r="Q172" s="16" t="s">
        <v>82</v>
      </c>
      <c r="R172" s="1" t="s">
        <v>204</v>
      </c>
      <c r="S172" s="1" t="s">
        <v>230</v>
      </c>
      <c r="T172" s="1" t="s">
        <v>231</v>
      </c>
      <c r="U172" s="41" t="s">
        <v>230</v>
      </c>
    </row>
    <row r="173" spans="1:21" ht="38.4" customHeight="1" x14ac:dyDescent="0.25">
      <c r="A173" s="2">
        <v>1567</v>
      </c>
      <c r="B173" s="18" t="s">
        <v>429</v>
      </c>
      <c r="C173" s="74" t="s">
        <v>526</v>
      </c>
      <c r="D173" s="3" t="s">
        <v>837</v>
      </c>
      <c r="E173" s="103" t="s">
        <v>665</v>
      </c>
      <c r="F173" s="1" t="s">
        <v>299</v>
      </c>
      <c r="G173" s="1"/>
      <c r="H173" s="1"/>
      <c r="I173" s="1"/>
      <c r="J173" s="57" t="s">
        <v>100</v>
      </c>
      <c r="K173" s="73"/>
      <c r="L173" s="4"/>
      <c r="M173" s="8" t="str">
        <f t="shared" si="9"/>
        <v>PRO</v>
      </c>
      <c r="N173" s="10" t="str">
        <f t="shared" ca="1" si="10"/>
        <v/>
      </c>
      <c r="O173" s="4"/>
      <c r="P173" s="8" t="s">
        <v>38</v>
      </c>
      <c r="Q173" s="16" t="s">
        <v>38</v>
      </c>
      <c r="R173" s="1"/>
      <c r="S173" s="1" t="s">
        <v>230</v>
      </c>
      <c r="T173" s="1" t="s">
        <v>231</v>
      </c>
      <c r="U173" s="41" t="s">
        <v>230</v>
      </c>
    </row>
    <row r="174" spans="1:21" ht="38.4" customHeight="1" x14ac:dyDescent="0.25">
      <c r="A174" s="2">
        <v>1576</v>
      </c>
      <c r="B174" s="18" t="s">
        <v>430</v>
      </c>
      <c r="C174" s="74" t="s">
        <v>526</v>
      </c>
      <c r="D174" s="3" t="s">
        <v>837</v>
      </c>
      <c r="E174" s="103" t="s">
        <v>665</v>
      </c>
      <c r="F174" s="1" t="s">
        <v>299</v>
      </c>
      <c r="G174" s="1"/>
      <c r="H174" s="1"/>
      <c r="I174" s="1"/>
      <c r="J174" s="57" t="s">
        <v>100</v>
      </c>
      <c r="K174" s="73"/>
      <c r="L174" s="4"/>
      <c r="M174" s="8" t="str">
        <f t="shared" si="9"/>
        <v>PRO</v>
      </c>
      <c r="N174" s="10" t="str">
        <f t="shared" ca="1" si="10"/>
        <v/>
      </c>
      <c r="O174" s="4"/>
      <c r="P174" s="8" t="s">
        <v>130</v>
      </c>
      <c r="Q174" s="16" t="s">
        <v>83</v>
      </c>
      <c r="R174" s="1"/>
      <c r="S174" s="1" t="s">
        <v>230</v>
      </c>
      <c r="T174" s="1" t="s">
        <v>231</v>
      </c>
      <c r="U174" s="41" t="s">
        <v>230</v>
      </c>
    </row>
    <row r="175" spans="1:21" ht="38.4" customHeight="1" x14ac:dyDescent="0.25">
      <c r="A175" s="2">
        <v>1559</v>
      </c>
      <c r="B175" s="18" t="s">
        <v>431</v>
      </c>
      <c r="C175" s="74" t="s">
        <v>526</v>
      </c>
      <c r="D175" s="3" t="s">
        <v>837</v>
      </c>
      <c r="E175" s="103"/>
      <c r="F175" s="1" t="s">
        <v>299</v>
      </c>
      <c r="G175" s="1"/>
      <c r="H175" s="1"/>
      <c r="I175" s="1"/>
      <c r="J175" s="57" t="s">
        <v>100</v>
      </c>
      <c r="K175" s="73"/>
      <c r="L175" s="4"/>
      <c r="M175" s="8" t="str">
        <f t="shared" si="9"/>
        <v>PRO</v>
      </c>
      <c r="N175" s="10" t="str">
        <f t="shared" ca="1" si="10"/>
        <v/>
      </c>
      <c r="O175" s="4"/>
      <c r="P175" s="8" t="s">
        <v>38</v>
      </c>
      <c r="Q175" s="16" t="s">
        <v>38</v>
      </c>
      <c r="R175" s="1"/>
      <c r="S175" s="1" t="s">
        <v>230</v>
      </c>
      <c r="T175" s="1" t="s">
        <v>231</v>
      </c>
      <c r="U175" s="41" t="s">
        <v>230</v>
      </c>
    </row>
    <row r="176" spans="1:21" ht="38.4" customHeight="1" x14ac:dyDescent="0.25">
      <c r="A176" s="2">
        <v>1549</v>
      </c>
      <c r="B176" s="18" t="s">
        <v>432</v>
      </c>
      <c r="C176" s="74" t="s">
        <v>526</v>
      </c>
      <c r="D176" s="3" t="s">
        <v>837</v>
      </c>
      <c r="E176" s="103"/>
      <c r="F176" s="1" t="s">
        <v>299</v>
      </c>
      <c r="G176" s="1"/>
      <c r="H176" s="1"/>
      <c r="I176" s="1"/>
      <c r="J176" s="57" t="s">
        <v>100</v>
      </c>
      <c r="K176" s="73"/>
      <c r="L176" s="4"/>
      <c r="M176" s="8" t="str">
        <f t="shared" si="9"/>
        <v>PRO</v>
      </c>
      <c r="N176" s="10" t="str">
        <f t="shared" ca="1" si="10"/>
        <v/>
      </c>
      <c r="O176" s="4"/>
      <c r="P176" s="8" t="s">
        <v>130</v>
      </c>
      <c r="Q176" s="16" t="s">
        <v>83</v>
      </c>
      <c r="R176" s="1"/>
      <c r="S176" s="1" t="s">
        <v>230</v>
      </c>
      <c r="T176" s="1" t="s">
        <v>231</v>
      </c>
      <c r="U176" s="41" t="s">
        <v>230</v>
      </c>
    </row>
    <row r="177" spans="1:21" ht="38.4" customHeight="1" x14ac:dyDescent="0.25">
      <c r="A177" s="2">
        <v>1546</v>
      </c>
      <c r="B177" s="18" t="s">
        <v>433</v>
      </c>
      <c r="C177" s="74" t="s">
        <v>528</v>
      </c>
      <c r="D177" s="3" t="s">
        <v>837</v>
      </c>
      <c r="E177" s="103"/>
      <c r="F177" s="1" t="s">
        <v>299</v>
      </c>
      <c r="G177" s="1"/>
      <c r="H177" s="1"/>
      <c r="I177" s="1"/>
      <c r="J177" s="57" t="s">
        <v>100</v>
      </c>
      <c r="K177" s="73"/>
      <c r="L177" s="4"/>
      <c r="M177" s="8" t="str">
        <f t="shared" si="9"/>
        <v>PRO</v>
      </c>
      <c r="N177" s="10" t="str">
        <f t="shared" ca="1" si="10"/>
        <v/>
      </c>
      <c r="O177" s="4"/>
      <c r="P177" s="8" t="s">
        <v>38</v>
      </c>
      <c r="Q177" s="16" t="s">
        <v>38</v>
      </c>
      <c r="R177" s="1"/>
      <c r="S177" s="1" t="s">
        <v>230</v>
      </c>
      <c r="T177" s="1" t="s">
        <v>231</v>
      </c>
      <c r="U177" s="41" t="s">
        <v>230</v>
      </c>
    </row>
    <row r="178" spans="1:21" ht="38.4" customHeight="1" x14ac:dyDescent="0.25">
      <c r="A178" s="2">
        <v>1535</v>
      </c>
      <c r="B178" s="18" t="s">
        <v>434</v>
      </c>
      <c r="C178" s="74" t="s">
        <v>529</v>
      </c>
      <c r="D178" s="3" t="s">
        <v>837</v>
      </c>
      <c r="E178" s="103"/>
      <c r="F178" s="1" t="s">
        <v>299</v>
      </c>
      <c r="G178" s="1"/>
      <c r="H178" s="1"/>
      <c r="I178" s="1"/>
      <c r="J178" s="57" t="s">
        <v>100</v>
      </c>
      <c r="K178" s="73"/>
      <c r="L178" s="4"/>
      <c r="M178" s="8" t="str">
        <f t="shared" si="9"/>
        <v>PRO</v>
      </c>
      <c r="N178" s="10" t="str">
        <f t="shared" ca="1" si="10"/>
        <v/>
      </c>
      <c r="O178" s="4"/>
      <c r="P178" s="8" t="s">
        <v>130</v>
      </c>
      <c r="Q178" s="16" t="s">
        <v>82</v>
      </c>
      <c r="R178" s="1"/>
      <c r="S178" s="1" t="s">
        <v>230</v>
      </c>
      <c r="T178" s="1" t="s">
        <v>231</v>
      </c>
      <c r="U178" s="41" t="s">
        <v>230</v>
      </c>
    </row>
    <row r="179" spans="1:21" ht="38.4" customHeight="1" x14ac:dyDescent="0.25">
      <c r="A179" s="2">
        <v>1534</v>
      </c>
      <c r="B179" s="18" t="s">
        <v>435</v>
      </c>
      <c r="C179" s="74" t="s">
        <v>529</v>
      </c>
      <c r="D179" s="3" t="s">
        <v>837</v>
      </c>
      <c r="E179" s="103"/>
      <c r="F179" s="1" t="s">
        <v>299</v>
      </c>
      <c r="G179" s="1"/>
      <c r="H179" s="1"/>
      <c r="I179" s="1"/>
      <c r="J179" s="57" t="s">
        <v>100</v>
      </c>
      <c r="K179" s="73"/>
      <c r="L179" s="4"/>
      <c r="M179" s="8" t="str">
        <f t="shared" si="9"/>
        <v>PRO</v>
      </c>
      <c r="N179" s="10" t="str">
        <f t="shared" ca="1" si="10"/>
        <v/>
      </c>
      <c r="O179" s="4"/>
      <c r="P179" s="8" t="s">
        <v>130</v>
      </c>
      <c r="Q179" s="16" t="s">
        <v>82</v>
      </c>
      <c r="R179" s="1"/>
      <c r="S179" s="1" t="s">
        <v>230</v>
      </c>
      <c r="T179" s="1" t="s">
        <v>231</v>
      </c>
      <c r="U179" s="41" t="s">
        <v>230</v>
      </c>
    </row>
    <row r="180" spans="1:21" ht="38.4" customHeight="1" x14ac:dyDescent="0.25">
      <c r="A180" s="2">
        <v>1533</v>
      </c>
      <c r="B180" s="18" t="s">
        <v>436</v>
      </c>
      <c r="C180" s="74" t="s">
        <v>529</v>
      </c>
      <c r="D180" s="3" t="s">
        <v>837</v>
      </c>
      <c r="E180" s="103"/>
      <c r="F180" s="1" t="s">
        <v>299</v>
      </c>
      <c r="G180" s="1"/>
      <c r="H180" s="1"/>
      <c r="I180" s="1"/>
      <c r="J180" s="57" t="s">
        <v>100</v>
      </c>
      <c r="K180" s="73"/>
      <c r="L180" s="4"/>
      <c r="M180" s="8" t="str">
        <f t="shared" si="9"/>
        <v>PRO</v>
      </c>
      <c r="N180" s="10" t="str">
        <f t="shared" ca="1" si="10"/>
        <v/>
      </c>
      <c r="O180" s="4"/>
      <c r="P180" s="8" t="s">
        <v>130</v>
      </c>
      <c r="Q180" s="16" t="s">
        <v>83</v>
      </c>
      <c r="R180" s="1"/>
      <c r="S180" s="1" t="s">
        <v>230</v>
      </c>
      <c r="T180" s="1" t="s">
        <v>231</v>
      </c>
      <c r="U180" s="41" t="s">
        <v>230</v>
      </c>
    </row>
    <row r="181" spans="1:21" ht="38.4" customHeight="1" x14ac:dyDescent="0.25">
      <c r="A181" s="2">
        <v>1532</v>
      </c>
      <c r="B181" s="18" t="s">
        <v>437</v>
      </c>
      <c r="C181" s="74" t="s">
        <v>530</v>
      </c>
      <c r="D181" s="3" t="s">
        <v>837</v>
      </c>
      <c r="E181" s="103"/>
      <c r="F181" s="1" t="s">
        <v>299</v>
      </c>
      <c r="G181" s="1"/>
      <c r="H181" s="1"/>
      <c r="I181" s="1"/>
      <c r="J181" s="57" t="s">
        <v>100</v>
      </c>
      <c r="K181" s="73"/>
      <c r="L181" s="4"/>
      <c r="M181" s="8" t="str">
        <f t="shared" si="9"/>
        <v>PRO</v>
      </c>
      <c r="N181" s="10" t="str">
        <f t="shared" ca="1" si="10"/>
        <v/>
      </c>
      <c r="O181" s="4"/>
      <c r="P181" s="8" t="s">
        <v>130</v>
      </c>
      <c r="Q181" s="16" t="s">
        <v>82</v>
      </c>
      <c r="R181" s="1"/>
      <c r="S181" s="1" t="s">
        <v>230</v>
      </c>
      <c r="T181" s="1" t="s">
        <v>231</v>
      </c>
      <c r="U181" s="41" t="s">
        <v>230</v>
      </c>
    </row>
    <row r="182" spans="1:21" ht="38.4" customHeight="1" x14ac:dyDescent="0.25">
      <c r="A182" s="2">
        <v>1531</v>
      </c>
      <c r="B182" s="18" t="s">
        <v>438</v>
      </c>
      <c r="C182" s="74" t="s">
        <v>529</v>
      </c>
      <c r="D182" s="3" t="s">
        <v>837</v>
      </c>
      <c r="E182" s="103"/>
      <c r="F182" s="1" t="s">
        <v>299</v>
      </c>
      <c r="G182" s="1"/>
      <c r="H182" s="1"/>
      <c r="I182" s="1"/>
      <c r="J182" s="57" t="s">
        <v>100</v>
      </c>
      <c r="K182" s="73"/>
      <c r="L182" s="4"/>
      <c r="M182" s="8" t="str">
        <f t="shared" si="9"/>
        <v>PRO</v>
      </c>
      <c r="N182" s="10" t="str">
        <f t="shared" ca="1" si="10"/>
        <v/>
      </c>
      <c r="O182" s="4"/>
      <c r="P182" s="8" t="s">
        <v>130</v>
      </c>
      <c r="Q182" s="16" t="s">
        <v>82</v>
      </c>
      <c r="R182" s="1" t="s">
        <v>204</v>
      </c>
      <c r="S182" s="1" t="s">
        <v>230</v>
      </c>
      <c r="T182" s="1" t="s">
        <v>231</v>
      </c>
      <c r="U182" s="41" t="s">
        <v>230</v>
      </c>
    </row>
    <row r="183" spans="1:21" ht="38.4" customHeight="1" x14ac:dyDescent="0.25">
      <c r="A183" s="2">
        <v>1530</v>
      </c>
      <c r="B183" s="18" t="s">
        <v>439</v>
      </c>
      <c r="C183" s="74" t="s">
        <v>529</v>
      </c>
      <c r="D183" s="3" t="s">
        <v>837</v>
      </c>
      <c r="E183" s="103"/>
      <c r="F183" s="1" t="s">
        <v>299</v>
      </c>
      <c r="G183" s="1"/>
      <c r="H183" s="1"/>
      <c r="I183" s="1"/>
      <c r="J183" s="57" t="s">
        <v>100</v>
      </c>
      <c r="K183" s="73"/>
      <c r="L183" s="4"/>
      <c r="M183" s="8" t="str">
        <f t="shared" si="9"/>
        <v>PRO</v>
      </c>
      <c r="N183" s="10" t="str">
        <f t="shared" ca="1" si="10"/>
        <v/>
      </c>
      <c r="O183" s="4"/>
      <c r="P183" s="8" t="s">
        <v>130</v>
      </c>
      <c r="Q183" s="16" t="s">
        <v>82</v>
      </c>
      <c r="R183" s="1" t="s">
        <v>204</v>
      </c>
      <c r="S183" s="1" t="s">
        <v>230</v>
      </c>
      <c r="T183" s="1" t="s">
        <v>231</v>
      </c>
      <c r="U183" s="41" t="s">
        <v>230</v>
      </c>
    </row>
    <row r="184" spans="1:21" ht="38.4" customHeight="1" x14ac:dyDescent="0.25">
      <c r="A184" s="2">
        <v>1519</v>
      </c>
      <c r="B184" s="18" t="s">
        <v>440</v>
      </c>
      <c r="C184" s="74" t="s">
        <v>530</v>
      </c>
      <c r="D184" s="3" t="s">
        <v>837</v>
      </c>
      <c r="E184" s="103"/>
      <c r="F184" s="1" t="s">
        <v>299</v>
      </c>
      <c r="G184" s="1"/>
      <c r="H184" s="1"/>
      <c r="I184" s="1"/>
      <c r="J184" s="57" t="s">
        <v>100</v>
      </c>
      <c r="K184" s="73"/>
      <c r="L184" s="4"/>
      <c r="M184" s="8" t="str">
        <f t="shared" si="9"/>
        <v>PRO</v>
      </c>
      <c r="N184" s="10" t="str">
        <f t="shared" ca="1" si="10"/>
        <v/>
      </c>
      <c r="O184" s="4"/>
      <c r="P184" s="8" t="s">
        <v>38</v>
      </c>
      <c r="Q184" s="16" t="s">
        <v>38</v>
      </c>
      <c r="R184" s="1"/>
      <c r="S184" s="1" t="s">
        <v>230</v>
      </c>
      <c r="T184" s="1" t="s">
        <v>231</v>
      </c>
      <c r="U184" s="41" t="s">
        <v>230</v>
      </c>
    </row>
    <row r="185" spans="1:21" ht="38.4" customHeight="1" x14ac:dyDescent="0.25">
      <c r="A185" s="2">
        <v>1510</v>
      </c>
      <c r="B185" s="18" t="s">
        <v>441</v>
      </c>
      <c r="C185" s="74" t="s">
        <v>529</v>
      </c>
      <c r="D185" s="3" t="s">
        <v>837</v>
      </c>
      <c r="E185" s="103"/>
      <c r="F185" s="1" t="s">
        <v>299</v>
      </c>
      <c r="G185" s="1"/>
      <c r="H185" s="1"/>
      <c r="I185" s="1"/>
      <c r="J185" s="57" t="s">
        <v>100</v>
      </c>
      <c r="K185" s="73"/>
      <c r="L185" s="4"/>
      <c r="M185" s="8" t="str">
        <f t="shared" si="9"/>
        <v>PRO</v>
      </c>
      <c r="N185" s="10" t="str">
        <f t="shared" ca="1" si="10"/>
        <v/>
      </c>
      <c r="O185" s="4"/>
      <c r="P185" s="8" t="s">
        <v>38</v>
      </c>
      <c r="Q185" s="16" t="s">
        <v>38</v>
      </c>
      <c r="R185" s="1"/>
      <c r="S185" s="1" t="s">
        <v>230</v>
      </c>
      <c r="T185" s="1" t="s">
        <v>231</v>
      </c>
      <c r="U185" s="41" t="s">
        <v>230</v>
      </c>
    </row>
    <row r="186" spans="1:21" ht="38.4" customHeight="1" x14ac:dyDescent="0.25">
      <c r="A186" s="2">
        <v>1509</v>
      </c>
      <c r="B186" s="18" t="s">
        <v>442</v>
      </c>
      <c r="C186" s="74" t="s">
        <v>529</v>
      </c>
      <c r="D186" s="3" t="s">
        <v>837</v>
      </c>
      <c r="E186" s="103"/>
      <c r="F186" s="1" t="s">
        <v>299</v>
      </c>
      <c r="G186" s="1"/>
      <c r="H186" s="1"/>
      <c r="I186" s="1"/>
      <c r="J186" s="57" t="s">
        <v>100</v>
      </c>
      <c r="K186" s="73"/>
      <c r="L186" s="4"/>
      <c r="M186" s="8" t="str">
        <f t="shared" si="9"/>
        <v>PRO</v>
      </c>
      <c r="N186" s="10" t="str">
        <f t="shared" ca="1" si="10"/>
        <v/>
      </c>
      <c r="O186" s="4"/>
      <c r="P186" s="8" t="s">
        <v>130</v>
      </c>
      <c r="Q186" s="16" t="s">
        <v>82</v>
      </c>
      <c r="R186" s="1"/>
      <c r="S186" s="1" t="s">
        <v>230</v>
      </c>
      <c r="T186" s="1" t="s">
        <v>231</v>
      </c>
      <c r="U186" s="41" t="s">
        <v>230</v>
      </c>
    </row>
    <row r="187" spans="1:21" ht="38.4" customHeight="1" x14ac:dyDescent="0.25">
      <c r="A187" s="2">
        <v>1508</v>
      </c>
      <c r="B187" s="18" t="s">
        <v>443</v>
      </c>
      <c r="C187" s="74" t="s">
        <v>529</v>
      </c>
      <c r="D187" s="3" t="s">
        <v>837</v>
      </c>
      <c r="E187" s="103"/>
      <c r="F187" s="1" t="s">
        <v>531</v>
      </c>
      <c r="G187" s="1"/>
      <c r="H187" s="1"/>
      <c r="I187" s="1"/>
      <c r="J187" s="57" t="s">
        <v>100</v>
      </c>
      <c r="K187" s="73"/>
      <c r="L187" s="4"/>
      <c r="M187" s="8" t="str">
        <f t="shared" si="9"/>
        <v>PRO</v>
      </c>
      <c r="N187" s="10" t="str">
        <f t="shared" ca="1" si="10"/>
        <v/>
      </c>
      <c r="O187" s="4"/>
      <c r="P187" s="8" t="s">
        <v>130</v>
      </c>
      <c r="Q187" s="16" t="s">
        <v>83</v>
      </c>
      <c r="R187" s="1"/>
      <c r="S187" s="1" t="s">
        <v>230</v>
      </c>
      <c r="T187" s="1" t="s">
        <v>231</v>
      </c>
      <c r="U187" s="41" t="s">
        <v>230</v>
      </c>
    </row>
    <row r="188" spans="1:21" ht="38.4" customHeight="1" x14ac:dyDescent="0.25">
      <c r="A188" s="2">
        <v>1379</v>
      </c>
      <c r="B188" s="18" t="s">
        <v>444</v>
      </c>
      <c r="C188" s="74" t="s">
        <v>529</v>
      </c>
      <c r="D188" s="3" t="s">
        <v>837</v>
      </c>
      <c r="E188" s="103"/>
      <c r="F188" s="1" t="s">
        <v>299</v>
      </c>
      <c r="G188" s="1"/>
      <c r="H188" s="1"/>
      <c r="I188" s="1"/>
      <c r="J188" s="57" t="s">
        <v>100</v>
      </c>
      <c r="K188" s="73"/>
      <c r="L188" s="4"/>
      <c r="M188" s="8" t="str">
        <f t="shared" si="9"/>
        <v>PRO</v>
      </c>
      <c r="N188" s="10" t="str">
        <f t="shared" ca="1" si="10"/>
        <v/>
      </c>
      <c r="O188" s="4"/>
      <c r="P188" s="8" t="s">
        <v>130</v>
      </c>
      <c r="Q188" s="16" t="s">
        <v>83</v>
      </c>
      <c r="R188" s="1"/>
      <c r="S188" s="1" t="s">
        <v>230</v>
      </c>
      <c r="T188" s="1" t="s">
        <v>231</v>
      </c>
      <c r="U188" s="41" t="s">
        <v>230</v>
      </c>
    </row>
    <row r="189" spans="1:21" ht="38.4" customHeight="1" x14ac:dyDescent="0.25">
      <c r="A189" s="2">
        <v>1380</v>
      </c>
      <c r="B189" s="18" t="s">
        <v>445</v>
      </c>
      <c r="C189" s="74" t="s">
        <v>532</v>
      </c>
      <c r="D189" s="3" t="s">
        <v>837</v>
      </c>
      <c r="E189" s="103"/>
      <c r="F189" s="1" t="s">
        <v>299</v>
      </c>
      <c r="G189" s="1"/>
      <c r="H189" s="1"/>
      <c r="I189" s="1"/>
      <c r="J189" s="57" t="s">
        <v>100</v>
      </c>
      <c r="K189" s="73"/>
      <c r="L189" s="4"/>
      <c r="M189" s="8" t="str">
        <f t="shared" si="9"/>
        <v>PRO</v>
      </c>
      <c r="N189" s="10" t="str">
        <f t="shared" ca="1" si="10"/>
        <v/>
      </c>
      <c r="O189" s="4"/>
      <c r="P189" s="8" t="s">
        <v>130</v>
      </c>
      <c r="Q189" s="16" t="s">
        <v>83</v>
      </c>
      <c r="R189" s="1"/>
      <c r="S189" s="1" t="s">
        <v>230</v>
      </c>
      <c r="T189" s="1" t="s">
        <v>231</v>
      </c>
      <c r="U189" s="41" t="s">
        <v>230</v>
      </c>
    </row>
    <row r="190" spans="1:21" ht="38.4" customHeight="1" x14ac:dyDescent="0.25">
      <c r="A190" s="2">
        <v>1375</v>
      </c>
      <c r="B190" s="18" t="s">
        <v>446</v>
      </c>
      <c r="C190" s="74" t="s">
        <v>533</v>
      </c>
      <c r="D190" s="3" t="s">
        <v>837</v>
      </c>
      <c r="E190" s="103"/>
      <c r="F190" s="1" t="s">
        <v>299</v>
      </c>
      <c r="G190" s="1"/>
      <c r="H190" s="1"/>
      <c r="I190" s="1"/>
      <c r="J190" s="57" t="s">
        <v>100</v>
      </c>
      <c r="K190" s="73"/>
      <c r="L190" s="4"/>
      <c r="M190" s="8" t="str">
        <f t="shared" si="9"/>
        <v>PRO</v>
      </c>
      <c r="N190" s="10" t="str">
        <f t="shared" ca="1" si="10"/>
        <v/>
      </c>
      <c r="O190" s="4"/>
      <c r="P190" s="8" t="s">
        <v>130</v>
      </c>
      <c r="Q190" s="16" t="s">
        <v>83</v>
      </c>
      <c r="R190" s="1"/>
      <c r="S190" s="1" t="s">
        <v>230</v>
      </c>
      <c r="T190" s="1" t="s">
        <v>231</v>
      </c>
      <c r="U190" s="41" t="s">
        <v>230</v>
      </c>
    </row>
    <row r="191" spans="1:21" ht="38.4" customHeight="1" x14ac:dyDescent="0.25">
      <c r="A191" s="2">
        <v>1377</v>
      </c>
      <c r="B191" s="18" t="s">
        <v>447</v>
      </c>
      <c r="C191" s="74" t="s">
        <v>529</v>
      </c>
      <c r="D191" s="3" t="s">
        <v>837</v>
      </c>
      <c r="E191" s="103"/>
      <c r="F191" s="1" t="s">
        <v>299</v>
      </c>
      <c r="G191" s="1"/>
      <c r="H191" s="1"/>
      <c r="I191" s="1"/>
      <c r="J191" s="57" t="s">
        <v>100</v>
      </c>
      <c r="K191" s="73"/>
      <c r="L191" s="4"/>
      <c r="M191" s="8" t="str">
        <f t="shared" si="9"/>
        <v>PRO</v>
      </c>
      <c r="N191" s="10" t="str">
        <f t="shared" ca="1" si="10"/>
        <v/>
      </c>
      <c r="O191" s="4"/>
      <c r="P191" s="8" t="s">
        <v>38</v>
      </c>
      <c r="Q191" s="16" t="s">
        <v>38</v>
      </c>
      <c r="R191" s="1"/>
      <c r="S191" s="1" t="s">
        <v>230</v>
      </c>
      <c r="T191" s="1" t="s">
        <v>231</v>
      </c>
      <c r="U191" s="41" t="s">
        <v>230</v>
      </c>
    </row>
    <row r="192" spans="1:21" ht="38.4" customHeight="1" x14ac:dyDescent="0.25">
      <c r="A192" s="2">
        <v>1376</v>
      </c>
      <c r="B192" s="18" t="s">
        <v>448</v>
      </c>
      <c r="C192" s="74" t="s">
        <v>529</v>
      </c>
      <c r="D192" s="3" t="s">
        <v>837</v>
      </c>
      <c r="E192" s="103"/>
      <c r="F192" s="1" t="s">
        <v>299</v>
      </c>
      <c r="G192" s="1"/>
      <c r="H192" s="1"/>
      <c r="I192" s="1"/>
      <c r="J192" s="57" t="s">
        <v>100</v>
      </c>
      <c r="K192" s="73"/>
      <c r="L192" s="4"/>
      <c r="M192" s="8" t="str">
        <f t="shared" si="9"/>
        <v>PRO</v>
      </c>
      <c r="N192" s="10" t="str">
        <f t="shared" ca="1" si="10"/>
        <v/>
      </c>
      <c r="O192" s="4"/>
      <c r="P192" s="8" t="s">
        <v>130</v>
      </c>
      <c r="Q192" s="16" t="s">
        <v>83</v>
      </c>
      <c r="R192" s="1"/>
      <c r="S192" s="1" t="s">
        <v>230</v>
      </c>
      <c r="T192" s="1" t="s">
        <v>231</v>
      </c>
      <c r="U192" s="41" t="s">
        <v>230</v>
      </c>
    </row>
    <row r="193" spans="1:21" ht="38.4" customHeight="1" x14ac:dyDescent="0.25">
      <c r="A193" s="2">
        <v>1378</v>
      </c>
      <c r="B193" s="18" t="s">
        <v>449</v>
      </c>
      <c r="C193" s="74" t="s">
        <v>532</v>
      </c>
      <c r="D193" s="3" t="s">
        <v>837</v>
      </c>
      <c r="E193" s="103"/>
      <c r="F193" s="1" t="s">
        <v>299</v>
      </c>
      <c r="G193" s="1"/>
      <c r="H193" s="1"/>
      <c r="I193" s="1"/>
      <c r="J193" s="57" t="s">
        <v>100</v>
      </c>
      <c r="K193" s="73"/>
      <c r="L193" s="4"/>
      <c r="M193" s="8" t="str">
        <f t="shared" si="9"/>
        <v>PRO</v>
      </c>
      <c r="N193" s="10" t="str">
        <f t="shared" ca="1" si="10"/>
        <v/>
      </c>
      <c r="O193" s="4"/>
      <c r="P193" s="8" t="s">
        <v>130</v>
      </c>
      <c r="Q193" s="16" t="s">
        <v>83</v>
      </c>
      <c r="R193" s="1"/>
      <c r="S193" s="1" t="s">
        <v>230</v>
      </c>
      <c r="T193" s="1" t="s">
        <v>231</v>
      </c>
      <c r="U193" s="41" t="s">
        <v>230</v>
      </c>
    </row>
    <row r="194" spans="1:21" ht="38.4" customHeight="1" x14ac:dyDescent="0.25">
      <c r="A194" s="2">
        <v>1373</v>
      </c>
      <c r="B194" s="18" t="s">
        <v>450</v>
      </c>
      <c r="C194" s="74" t="s">
        <v>529</v>
      </c>
      <c r="D194" s="3" t="s">
        <v>837</v>
      </c>
      <c r="E194" s="103"/>
      <c r="F194" s="1" t="s">
        <v>299</v>
      </c>
      <c r="G194" s="1"/>
      <c r="H194" s="1"/>
      <c r="I194" s="1"/>
      <c r="J194" s="57" t="s">
        <v>100</v>
      </c>
      <c r="K194" s="73"/>
      <c r="L194" s="4"/>
      <c r="M194" s="8" t="str">
        <f t="shared" ref="M194:M257" si="12">LEFT(B194,3)</f>
        <v>PRO</v>
      </c>
      <c r="N194" s="10" t="str">
        <f t="shared" ref="N194:N257" ca="1" si="13">IF(K194="","",IF(TODAY()&gt;K194,"SIM","NÃO"))</f>
        <v/>
      </c>
      <c r="O194" s="4"/>
      <c r="P194" s="8" t="s">
        <v>130</v>
      </c>
      <c r="Q194" s="16" t="s">
        <v>83</v>
      </c>
      <c r="R194" s="1"/>
      <c r="S194" s="1" t="s">
        <v>230</v>
      </c>
      <c r="T194" s="1" t="s">
        <v>231</v>
      </c>
      <c r="U194" s="41" t="s">
        <v>230</v>
      </c>
    </row>
    <row r="195" spans="1:21" ht="38.4" customHeight="1" x14ac:dyDescent="0.25">
      <c r="A195" s="2">
        <v>1372</v>
      </c>
      <c r="B195" s="18" t="s">
        <v>451</v>
      </c>
      <c r="C195" s="74" t="s">
        <v>529</v>
      </c>
      <c r="D195" s="3" t="s">
        <v>837</v>
      </c>
      <c r="E195" s="103"/>
      <c r="F195" s="1" t="s">
        <v>299</v>
      </c>
      <c r="G195" s="1"/>
      <c r="H195" s="1"/>
      <c r="I195" s="1"/>
      <c r="J195" s="57" t="s">
        <v>100</v>
      </c>
      <c r="K195" s="73"/>
      <c r="L195" s="4"/>
      <c r="M195" s="8" t="str">
        <f t="shared" si="12"/>
        <v>PRO</v>
      </c>
      <c r="N195" s="10" t="str">
        <f t="shared" ca="1" si="13"/>
        <v/>
      </c>
      <c r="O195" s="4"/>
      <c r="P195" s="8" t="s">
        <v>130</v>
      </c>
      <c r="Q195" s="16" t="s">
        <v>83</v>
      </c>
      <c r="R195" s="1"/>
      <c r="S195" s="1" t="s">
        <v>230</v>
      </c>
      <c r="T195" s="1" t="s">
        <v>231</v>
      </c>
      <c r="U195" s="41" t="s">
        <v>230</v>
      </c>
    </row>
    <row r="196" spans="1:21" ht="38.4" customHeight="1" x14ac:dyDescent="0.25">
      <c r="A196" s="2">
        <v>1371</v>
      </c>
      <c r="B196" s="18" t="s">
        <v>452</v>
      </c>
      <c r="C196" s="74" t="s">
        <v>529</v>
      </c>
      <c r="D196" s="3" t="s">
        <v>837</v>
      </c>
      <c r="E196" s="103"/>
      <c r="F196" s="1" t="s">
        <v>299</v>
      </c>
      <c r="G196" s="1"/>
      <c r="H196" s="1"/>
      <c r="I196" s="1"/>
      <c r="J196" s="57" t="s">
        <v>100</v>
      </c>
      <c r="K196" s="73"/>
      <c r="L196" s="4"/>
      <c r="M196" s="8" t="str">
        <f t="shared" si="12"/>
        <v>PRO</v>
      </c>
      <c r="N196" s="10" t="str">
        <f t="shared" ca="1" si="13"/>
        <v/>
      </c>
      <c r="O196" s="4"/>
      <c r="P196" s="8" t="s">
        <v>38</v>
      </c>
      <c r="Q196" s="16" t="s">
        <v>38</v>
      </c>
      <c r="R196" s="1"/>
      <c r="S196" s="1" t="s">
        <v>230</v>
      </c>
      <c r="T196" s="1" t="s">
        <v>231</v>
      </c>
      <c r="U196" s="41" t="s">
        <v>230</v>
      </c>
    </row>
    <row r="197" spans="1:21" ht="38.4" customHeight="1" x14ac:dyDescent="0.25">
      <c r="A197" s="2">
        <v>1370</v>
      </c>
      <c r="B197" s="18" t="s">
        <v>453</v>
      </c>
      <c r="C197" s="74" t="s">
        <v>529</v>
      </c>
      <c r="D197" s="3" t="s">
        <v>837</v>
      </c>
      <c r="E197" s="103"/>
      <c r="F197" s="1" t="s">
        <v>299</v>
      </c>
      <c r="G197" s="1"/>
      <c r="H197" s="1"/>
      <c r="I197" s="1"/>
      <c r="J197" s="57" t="s">
        <v>100</v>
      </c>
      <c r="K197" s="73"/>
      <c r="L197" s="4"/>
      <c r="M197" s="8" t="str">
        <f t="shared" si="12"/>
        <v>PRO</v>
      </c>
      <c r="N197" s="10" t="str">
        <f t="shared" ca="1" si="13"/>
        <v/>
      </c>
      <c r="O197" s="4"/>
      <c r="P197" s="8" t="s">
        <v>38</v>
      </c>
      <c r="Q197" s="16" t="s">
        <v>38</v>
      </c>
      <c r="R197" s="1"/>
      <c r="S197" s="1" t="s">
        <v>230</v>
      </c>
      <c r="T197" s="1" t="s">
        <v>231</v>
      </c>
      <c r="U197" s="41" t="s">
        <v>230</v>
      </c>
    </row>
    <row r="198" spans="1:21" ht="38.4" customHeight="1" x14ac:dyDescent="0.25">
      <c r="A198" s="2">
        <v>1369</v>
      </c>
      <c r="B198" s="18" t="s">
        <v>454</v>
      </c>
      <c r="C198" s="74" t="s">
        <v>529</v>
      </c>
      <c r="D198" s="3" t="s">
        <v>837</v>
      </c>
      <c r="E198" s="103"/>
      <c r="F198" s="1" t="s">
        <v>299</v>
      </c>
      <c r="G198" s="1"/>
      <c r="H198" s="1"/>
      <c r="I198" s="1"/>
      <c r="J198" s="57" t="s">
        <v>100</v>
      </c>
      <c r="K198" s="73"/>
      <c r="L198" s="4"/>
      <c r="M198" s="8" t="str">
        <f t="shared" si="12"/>
        <v>PRO</v>
      </c>
      <c r="N198" s="10" t="str">
        <f t="shared" ca="1" si="13"/>
        <v/>
      </c>
      <c r="O198" s="4"/>
      <c r="P198" s="8" t="s">
        <v>38</v>
      </c>
      <c r="Q198" s="16" t="s">
        <v>38</v>
      </c>
      <c r="R198" s="1"/>
      <c r="S198" s="1" t="s">
        <v>230</v>
      </c>
      <c r="T198" s="1" t="s">
        <v>231</v>
      </c>
      <c r="U198" s="41" t="s">
        <v>230</v>
      </c>
    </row>
    <row r="199" spans="1:21" ht="38.4" customHeight="1" x14ac:dyDescent="0.25">
      <c r="A199" s="2">
        <v>1367</v>
      </c>
      <c r="B199" s="18" t="s">
        <v>455</v>
      </c>
      <c r="C199" s="74" t="s">
        <v>529</v>
      </c>
      <c r="D199" s="3" t="s">
        <v>837</v>
      </c>
      <c r="E199" s="103"/>
      <c r="F199" s="1" t="s">
        <v>299</v>
      </c>
      <c r="G199" s="1"/>
      <c r="H199" s="1"/>
      <c r="I199" s="1"/>
      <c r="J199" s="57" t="s">
        <v>100</v>
      </c>
      <c r="K199" s="73"/>
      <c r="L199" s="4"/>
      <c r="M199" s="8" t="str">
        <f t="shared" si="12"/>
        <v>PRO</v>
      </c>
      <c r="N199" s="10" t="str">
        <f t="shared" ca="1" si="13"/>
        <v/>
      </c>
      <c r="O199" s="4"/>
      <c r="P199" s="8" t="s">
        <v>38</v>
      </c>
      <c r="Q199" s="16" t="s">
        <v>38</v>
      </c>
      <c r="R199" s="1"/>
      <c r="S199" s="1" t="s">
        <v>230</v>
      </c>
      <c r="T199" s="1" t="s">
        <v>231</v>
      </c>
      <c r="U199" s="41" t="s">
        <v>230</v>
      </c>
    </row>
    <row r="200" spans="1:21" ht="38.4" customHeight="1" x14ac:dyDescent="0.25">
      <c r="A200" s="2">
        <v>1366</v>
      </c>
      <c r="B200" s="18" t="s">
        <v>456</v>
      </c>
      <c r="C200" s="74" t="s">
        <v>529</v>
      </c>
      <c r="D200" s="3" t="s">
        <v>837</v>
      </c>
      <c r="E200" s="103"/>
      <c r="F200" s="1" t="s">
        <v>299</v>
      </c>
      <c r="G200" s="1"/>
      <c r="H200" s="1"/>
      <c r="I200" s="1"/>
      <c r="J200" s="57" t="s">
        <v>100</v>
      </c>
      <c r="K200" s="73"/>
      <c r="L200" s="4"/>
      <c r="M200" s="8" t="str">
        <f t="shared" si="12"/>
        <v>PRO</v>
      </c>
      <c r="N200" s="10" t="str">
        <f t="shared" ca="1" si="13"/>
        <v/>
      </c>
      <c r="O200" s="4"/>
      <c r="P200" s="8" t="s">
        <v>38</v>
      </c>
      <c r="Q200" s="16" t="s">
        <v>38</v>
      </c>
      <c r="R200" s="1"/>
      <c r="S200" s="1" t="s">
        <v>230</v>
      </c>
      <c r="T200" s="1" t="s">
        <v>231</v>
      </c>
      <c r="U200" s="41" t="s">
        <v>230</v>
      </c>
    </row>
    <row r="201" spans="1:21" ht="38.4" customHeight="1" x14ac:dyDescent="0.25">
      <c r="A201" s="2">
        <v>1365</v>
      </c>
      <c r="B201" s="18" t="s">
        <v>457</v>
      </c>
      <c r="C201" s="74" t="s">
        <v>529</v>
      </c>
      <c r="D201" s="3" t="s">
        <v>837</v>
      </c>
      <c r="E201" s="103"/>
      <c r="F201" s="1" t="s">
        <v>299</v>
      </c>
      <c r="G201" s="1"/>
      <c r="H201" s="1"/>
      <c r="I201" s="1"/>
      <c r="J201" s="57" t="s">
        <v>100</v>
      </c>
      <c r="K201" s="73"/>
      <c r="L201" s="4"/>
      <c r="M201" s="8" t="str">
        <f t="shared" si="12"/>
        <v>PRO</v>
      </c>
      <c r="N201" s="10" t="str">
        <f t="shared" ca="1" si="13"/>
        <v/>
      </c>
      <c r="O201" s="4"/>
      <c r="P201" s="8" t="s">
        <v>38</v>
      </c>
      <c r="Q201" s="16" t="s">
        <v>38</v>
      </c>
      <c r="R201" s="1"/>
      <c r="S201" s="1" t="s">
        <v>230</v>
      </c>
      <c r="T201" s="1" t="s">
        <v>231</v>
      </c>
      <c r="U201" s="41" t="s">
        <v>230</v>
      </c>
    </row>
    <row r="202" spans="1:21" ht="38.4" customHeight="1" x14ac:dyDescent="0.25">
      <c r="A202" s="2">
        <v>1364</v>
      </c>
      <c r="B202" s="18" t="s">
        <v>458</v>
      </c>
      <c r="C202" s="74" t="s">
        <v>529</v>
      </c>
      <c r="D202" s="3" t="s">
        <v>837</v>
      </c>
      <c r="E202" s="103"/>
      <c r="F202" s="1" t="s">
        <v>299</v>
      </c>
      <c r="G202" s="1"/>
      <c r="H202" s="1"/>
      <c r="I202" s="1"/>
      <c r="J202" s="57" t="s">
        <v>100</v>
      </c>
      <c r="K202" s="73"/>
      <c r="L202" s="4"/>
      <c r="M202" s="8" t="str">
        <f t="shared" si="12"/>
        <v>PRO</v>
      </c>
      <c r="N202" s="10" t="str">
        <f t="shared" ca="1" si="13"/>
        <v/>
      </c>
      <c r="O202" s="4"/>
      <c r="P202" s="8" t="s">
        <v>38</v>
      </c>
      <c r="Q202" s="16" t="s">
        <v>38</v>
      </c>
      <c r="R202" s="1"/>
      <c r="S202" s="1" t="s">
        <v>230</v>
      </c>
      <c r="T202" s="1" t="s">
        <v>231</v>
      </c>
      <c r="U202" s="41" t="s">
        <v>230</v>
      </c>
    </row>
    <row r="203" spans="1:21" ht="38.4" customHeight="1" x14ac:dyDescent="0.25">
      <c r="A203" s="2">
        <v>1363</v>
      </c>
      <c r="B203" s="18" t="s">
        <v>459</v>
      </c>
      <c r="C203" s="74" t="s">
        <v>529</v>
      </c>
      <c r="D203" s="3" t="s">
        <v>837</v>
      </c>
      <c r="E203" s="103"/>
      <c r="F203" s="1" t="s">
        <v>299</v>
      </c>
      <c r="G203" s="1"/>
      <c r="H203" s="1"/>
      <c r="I203" s="1"/>
      <c r="J203" s="57" t="s">
        <v>100</v>
      </c>
      <c r="K203" s="73"/>
      <c r="L203" s="4"/>
      <c r="M203" s="8" t="str">
        <f t="shared" si="12"/>
        <v>PRO</v>
      </c>
      <c r="N203" s="10" t="str">
        <f t="shared" ca="1" si="13"/>
        <v/>
      </c>
      <c r="O203" s="4"/>
      <c r="P203" s="8" t="s">
        <v>38</v>
      </c>
      <c r="Q203" s="16" t="s">
        <v>38</v>
      </c>
      <c r="R203" s="1"/>
      <c r="S203" s="1" t="s">
        <v>230</v>
      </c>
      <c r="T203" s="1" t="s">
        <v>231</v>
      </c>
      <c r="U203" s="41" t="s">
        <v>230</v>
      </c>
    </row>
    <row r="204" spans="1:21" ht="38.4" customHeight="1" x14ac:dyDescent="0.25">
      <c r="A204" s="2">
        <v>1362</v>
      </c>
      <c r="B204" s="18" t="s">
        <v>460</v>
      </c>
      <c r="C204" s="74" t="s">
        <v>529</v>
      </c>
      <c r="D204" s="3" t="s">
        <v>837</v>
      </c>
      <c r="E204" s="103"/>
      <c r="F204" s="1" t="s">
        <v>299</v>
      </c>
      <c r="G204" s="1"/>
      <c r="H204" s="1"/>
      <c r="I204" s="1"/>
      <c r="J204" s="57" t="s">
        <v>100</v>
      </c>
      <c r="K204" s="73"/>
      <c r="L204" s="4"/>
      <c r="M204" s="8" t="str">
        <f t="shared" si="12"/>
        <v>PRO</v>
      </c>
      <c r="N204" s="10" t="str">
        <f t="shared" ca="1" si="13"/>
        <v/>
      </c>
      <c r="O204" s="4"/>
      <c r="P204" s="8" t="s">
        <v>130</v>
      </c>
      <c r="Q204" s="16" t="s">
        <v>82</v>
      </c>
      <c r="R204" s="1"/>
      <c r="S204" s="1" t="s">
        <v>230</v>
      </c>
      <c r="T204" s="1" t="s">
        <v>231</v>
      </c>
      <c r="U204" s="41" t="s">
        <v>230</v>
      </c>
    </row>
    <row r="205" spans="1:21" ht="38.4" customHeight="1" x14ac:dyDescent="0.25">
      <c r="A205" s="2">
        <v>1360</v>
      </c>
      <c r="B205" s="18" t="s">
        <v>461</v>
      </c>
      <c r="C205" s="74" t="s">
        <v>529</v>
      </c>
      <c r="D205" s="3" t="s">
        <v>837</v>
      </c>
      <c r="E205" s="103"/>
      <c r="F205" s="1" t="s">
        <v>299</v>
      </c>
      <c r="G205" s="1"/>
      <c r="H205" s="1"/>
      <c r="I205" s="1"/>
      <c r="J205" s="57" t="s">
        <v>100</v>
      </c>
      <c r="K205" s="73"/>
      <c r="L205" s="4"/>
      <c r="M205" s="8" t="str">
        <f t="shared" si="12"/>
        <v>PRO</v>
      </c>
      <c r="N205" s="10" t="str">
        <f t="shared" ca="1" si="13"/>
        <v/>
      </c>
      <c r="O205" s="4"/>
      <c r="P205" s="8" t="s">
        <v>38</v>
      </c>
      <c r="Q205" s="16" t="s">
        <v>38</v>
      </c>
      <c r="R205" s="1"/>
      <c r="S205" s="1" t="s">
        <v>230</v>
      </c>
      <c r="T205" s="1" t="s">
        <v>231</v>
      </c>
      <c r="U205" s="41" t="s">
        <v>230</v>
      </c>
    </row>
    <row r="206" spans="1:21" ht="38.4" customHeight="1" x14ac:dyDescent="0.25">
      <c r="A206" s="2">
        <v>1361</v>
      </c>
      <c r="B206" s="18" t="s">
        <v>462</v>
      </c>
      <c r="C206" s="74" t="s">
        <v>529</v>
      </c>
      <c r="D206" s="3" t="s">
        <v>837</v>
      </c>
      <c r="E206" s="103"/>
      <c r="F206" s="1" t="s">
        <v>299</v>
      </c>
      <c r="G206" s="1"/>
      <c r="H206" s="1"/>
      <c r="I206" s="1"/>
      <c r="J206" s="57" t="s">
        <v>100</v>
      </c>
      <c r="K206" s="73"/>
      <c r="L206" s="4"/>
      <c r="M206" s="8" t="str">
        <f t="shared" si="12"/>
        <v>PRO</v>
      </c>
      <c r="N206" s="10" t="str">
        <f t="shared" ca="1" si="13"/>
        <v/>
      </c>
      <c r="O206" s="4"/>
      <c r="P206" s="8" t="s">
        <v>38</v>
      </c>
      <c r="Q206" s="16" t="s">
        <v>38</v>
      </c>
      <c r="R206" s="1"/>
      <c r="S206" s="1" t="s">
        <v>230</v>
      </c>
      <c r="T206" s="1" t="s">
        <v>231</v>
      </c>
      <c r="U206" s="41" t="s">
        <v>230</v>
      </c>
    </row>
    <row r="207" spans="1:21" ht="38.4" customHeight="1" x14ac:dyDescent="0.25">
      <c r="A207" s="2">
        <v>1323</v>
      </c>
      <c r="B207" s="18" t="s">
        <v>463</v>
      </c>
      <c r="C207" s="74" t="s">
        <v>534</v>
      </c>
      <c r="D207" s="3" t="s">
        <v>837</v>
      </c>
      <c r="E207" s="103"/>
      <c r="F207" s="1" t="s">
        <v>535</v>
      </c>
      <c r="G207" s="1"/>
      <c r="H207" s="1"/>
      <c r="I207" s="1"/>
      <c r="J207" s="57" t="s">
        <v>100</v>
      </c>
      <c r="K207" s="73"/>
      <c r="L207" s="4"/>
      <c r="M207" s="8" t="str">
        <f t="shared" si="12"/>
        <v>PRO</v>
      </c>
      <c r="N207" s="10" t="str">
        <f t="shared" ca="1" si="13"/>
        <v/>
      </c>
      <c r="O207" s="4"/>
      <c r="P207" s="8" t="s">
        <v>38</v>
      </c>
      <c r="Q207" s="16" t="s">
        <v>38</v>
      </c>
      <c r="R207" s="1"/>
      <c r="S207" s="1" t="s">
        <v>230</v>
      </c>
      <c r="T207" s="1" t="s">
        <v>231</v>
      </c>
      <c r="U207" s="41" t="s">
        <v>230</v>
      </c>
    </row>
    <row r="208" spans="1:21" ht="38.4" customHeight="1" x14ac:dyDescent="0.25">
      <c r="A208" s="2">
        <v>1322</v>
      </c>
      <c r="B208" s="18" t="s">
        <v>464</v>
      </c>
      <c r="C208" s="74" t="s">
        <v>536</v>
      </c>
      <c r="D208" s="3" t="s">
        <v>837</v>
      </c>
      <c r="E208" s="103"/>
      <c r="F208" s="1" t="s">
        <v>535</v>
      </c>
      <c r="G208" s="1"/>
      <c r="H208" s="1"/>
      <c r="I208" s="1"/>
      <c r="J208" s="57" t="s">
        <v>100</v>
      </c>
      <c r="K208" s="73"/>
      <c r="L208" s="4"/>
      <c r="M208" s="8" t="str">
        <f t="shared" si="12"/>
        <v>PRO</v>
      </c>
      <c r="N208" s="10" t="str">
        <f t="shared" ca="1" si="13"/>
        <v/>
      </c>
      <c r="O208" s="4"/>
      <c r="P208" s="8" t="s">
        <v>38</v>
      </c>
      <c r="Q208" s="16" t="s">
        <v>38</v>
      </c>
      <c r="R208" s="1"/>
      <c r="S208" s="1" t="s">
        <v>230</v>
      </c>
      <c r="T208" s="1" t="s">
        <v>231</v>
      </c>
      <c r="U208" s="41" t="s">
        <v>230</v>
      </c>
    </row>
    <row r="209" spans="1:21" ht="38.4" customHeight="1" x14ac:dyDescent="0.25">
      <c r="A209" s="2">
        <v>1098</v>
      </c>
      <c r="B209" s="18" t="s">
        <v>465</v>
      </c>
      <c r="C209" s="74" t="s">
        <v>537</v>
      </c>
      <c r="D209" s="3" t="s">
        <v>837</v>
      </c>
      <c r="E209" s="103"/>
      <c r="F209" s="1" t="s">
        <v>77</v>
      </c>
      <c r="G209" s="1"/>
      <c r="H209" s="1"/>
      <c r="I209" s="1"/>
      <c r="J209" s="57" t="s">
        <v>100</v>
      </c>
      <c r="K209" s="73"/>
      <c r="L209" s="4"/>
      <c r="M209" s="8" t="str">
        <f t="shared" si="12"/>
        <v>PRO</v>
      </c>
      <c r="N209" s="10" t="str">
        <f t="shared" ca="1" si="13"/>
        <v/>
      </c>
      <c r="O209" s="4"/>
      <c r="P209" s="8" t="s">
        <v>130</v>
      </c>
      <c r="Q209" s="16" t="s">
        <v>83</v>
      </c>
      <c r="R209" s="1"/>
      <c r="S209" s="1" t="s">
        <v>230</v>
      </c>
      <c r="T209" s="1" t="s">
        <v>231</v>
      </c>
      <c r="U209" s="41" t="s">
        <v>230</v>
      </c>
    </row>
    <row r="210" spans="1:21" ht="38.4" customHeight="1" x14ac:dyDescent="0.25">
      <c r="A210" s="2">
        <v>1110</v>
      </c>
      <c r="B210" s="18" t="s">
        <v>466</v>
      </c>
      <c r="C210" s="74" t="s">
        <v>538</v>
      </c>
      <c r="D210" s="3" t="s">
        <v>837</v>
      </c>
      <c r="E210" s="103"/>
      <c r="F210" s="1" t="s">
        <v>77</v>
      </c>
      <c r="G210" s="1"/>
      <c r="H210" s="1"/>
      <c r="I210" s="1"/>
      <c r="J210" s="57" t="s">
        <v>100</v>
      </c>
      <c r="K210" s="73"/>
      <c r="L210" s="4"/>
      <c r="M210" s="8" t="str">
        <f t="shared" si="12"/>
        <v>PRO</v>
      </c>
      <c r="N210" s="10" t="str">
        <f t="shared" ca="1" si="13"/>
        <v/>
      </c>
      <c r="O210" s="4"/>
      <c r="P210" s="8" t="s">
        <v>38</v>
      </c>
      <c r="Q210" s="16" t="s">
        <v>38</v>
      </c>
      <c r="R210" s="1"/>
      <c r="S210" s="1" t="s">
        <v>230</v>
      </c>
      <c r="T210" s="1" t="s">
        <v>231</v>
      </c>
      <c r="U210" s="41" t="s">
        <v>230</v>
      </c>
    </row>
    <row r="211" spans="1:21" ht="38.4" customHeight="1" x14ac:dyDescent="0.25">
      <c r="A211" s="2">
        <v>1118</v>
      </c>
      <c r="B211" s="18" t="s">
        <v>467</v>
      </c>
      <c r="C211" s="74" t="s">
        <v>538</v>
      </c>
      <c r="D211" s="3" t="s">
        <v>837</v>
      </c>
      <c r="E211" s="103"/>
      <c r="F211" s="1" t="s">
        <v>77</v>
      </c>
      <c r="G211" s="1"/>
      <c r="H211" s="1"/>
      <c r="I211" s="1"/>
      <c r="J211" s="57" t="s">
        <v>100</v>
      </c>
      <c r="K211" s="73"/>
      <c r="L211" s="4"/>
      <c r="M211" s="8" t="str">
        <f t="shared" si="12"/>
        <v>PRO</v>
      </c>
      <c r="N211" s="10" t="str">
        <f t="shared" ca="1" si="13"/>
        <v/>
      </c>
      <c r="O211" s="4"/>
      <c r="P211" s="8" t="s">
        <v>130</v>
      </c>
      <c r="Q211" s="16" t="s">
        <v>83</v>
      </c>
      <c r="R211" s="1"/>
      <c r="S211" s="1" t="s">
        <v>230</v>
      </c>
      <c r="T211" s="1" t="s">
        <v>231</v>
      </c>
      <c r="U211" s="41" t="s">
        <v>230</v>
      </c>
    </row>
    <row r="212" spans="1:21" ht="38.4" customHeight="1" x14ac:dyDescent="0.25">
      <c r="A212" s="2">
        <v>1114</v>
      </c>
      <c r="B212" s="18" t="s">
        <v>468</v>
      </c>
      <c r="C212" s="75" t="s">
        <v>538</v>
      </c>
      <c r="D212" s="3" t="s">
        <v>837</v>
      </c>
      <c r="E212" s="103"/>
      <c r="F212" s="1" t="s">
        <v>77</v>
      </c>
      <c r="G212" s="1"/>
      <c r="H212" s="1"/>
      <c r="I212" s="1"/>
      <c r="J212" s="57" t="s">
        <v>100</v>
      </c>
      <c r="K212" s="73"/>
      <c r="L212" s="4"/>
      <c r="M212" s="8" t="str">
        <f t="shared" si="12"/>
        <v>PRO</v>
      </c>
      <c r="N212" s="10" t="str">
        <f t="shared" ca="1" si="13"/>
        <v/>
      </c>
      <c r="O212" s="4"/>
      <c r="P212" s="8" t="s">
        <v>38</v>
      </c>
      <c r="Q212" s="16" t="s">
        <v>38</v>
      </c>
      <c r="R212" s="1"/>
      <c r="S212" s="1" t="s">
        <v>230</v>
      </c>
      <c r="T212" s="1" t="s">
        <v>231</v>
      </c>
      <c r="U212" s="41" t="s">
        <v>230</v>
      </c>
    </row>
    <row r="213" spans="1:21" ht="38.4" customHeight="1" x14ac:dyDescent="0.25">
      <c r="A213" s="2">
        <v>1113</v>
      </c>
      <c r="B213" s="18" t="s">
        <v>469</v>
      </c>
      <c r="C213" s="75" t="s">
        <v>537</v>
      </c>
      <c r="D213" s="3" t="s">
        <v>837</v>
      </c>
      <c r="E213" s="103"/>
      <c r="F213" s="1" t="s">
        <v>77</v>
      </c>
      <c r="G213" s="1"/>
      <c r="H213" s="1"/>
      <c r="I213" s="1"/>
      <c r="J213" s="57" t="s">
        <v>100</v>
      </c>
      <c r="K213" s="73"/>
      <c r="L213" s="4"/>
      <c r="M213" s="8" t="str">
        <f t="shared" si="12"/>
        <v>PRO</v>
      </c>
      <c r="N213" s="10" t="str">
        <f t="shared" ca="1" si="13"/>
        <v/>
      </c>
      <c r="O213" s="4"/>
      <c r="P213" s="8" t="s">
        <v>38</v>
      </c>
      <c r="Q213" s="16" t="s">
        <v>38</v>
      </c>
      <c r="R213" s="1"/>
      <c r="S213" s="1" t="s">
        <v>230</v>
      </c>
      <c r="T213" s="1" t="s">
        <v>231</v>
      </c>
      <c r="U213" s="41" t="s">
        <v>230</v>
      </c>
    </row>
    <row r="214" spans="1:21" ht="38.4" customHeight="1" x14ac:dyDescent="0.25">
      <c r="A214" s="2">
        <v>1112</v>
      </c>
      <c r="B214" s="18" t="s">
        <v>470</v>
      </c>
      <c r="C214" s="75" t="s">
        <v>538</v>
      </c>
      <c r="D214" s="3" t="s">
        <v>837</v>
      </c>
      <c r="E214" s="103"/>
      <c r="F214" s="1" t="s">
        <v>77</v>
      </c>
      <c r="G214" s="1"/>
      <c r="H214" s="1"/>
      <c r="I214" s="1"/>
      <c r="J214" s="57" t="s">
        <v>100</v>
      </c>
      <c r="K214" s="73"/>
      <c r="L214" s="4"/>
      <c r="M214" s="8" t="str">
        <f t="shared" si="12"/>
        <v>PRO</v>
      </c>
      <c r="N214" s="10" t="str">
        <f t="shared" ca="1" si="13"/>
        <v/>
      </c>
      <c r="O214" s="4"/>
      <c r="P214" s="8" t="s">
        <v>38</v>
      </c>
      <c r="Q214" s="16" t="s">
        <v>38</v>
      </c>
      <c r="R214" s="1"/>
      <c r="S214" s="1" t="s">
        <v>230</v>
      </c>
      <c r="T214" s="1" t="s">
        <v>231</v>
      </c>
      <c r="U214" s="41" t="s">
        <v>230</v>
      </c>
    </row>
    <row r="215" spans="1:21" ht="38.4" customHeight="1" x14ac:dyDescent="0.25">
      <c r="A215" s="2">
        <v>1111</v>
      </c>
      <c r="B215" s="18" t="s">
        <v>471</v>
      </c>
      <c r="C215" s="75" t="s">
        <v>537</v>
      </c>
      <c r="D215" s="3" t="s">
        <v>837</v>
      </c>
      <c r="E215" s="103"/>
      <c r="F215" s="1" t="s">
        <v>77</v>
      </c>
      <c r="G215" s="1"/>
      <c r="H215" s="1"/>
      <c r="I215" s="1"/>
      <c r="J215" s="57" t="s">
        <v>100</v>
      </c>
      <c r="K215" s="73"/>
      <c r="L215" s="4"/>
      <c r="M215" s="8" t="str">
        <f t="shared" si="12"/>
        <v>PRO</v>
      </c>
      <c r="N215" s="10" t="str">
        <f t="shared" ca="1" si="13"/>
        <v/>
      </c>
      <c r="O215" s="4"/>
      <c r="P215" s="8" t="s">
        <v>130</v>
      </c>
      <c r="Q215" s="16" t="s">
        <v>82</v>
      </c>
      <c r="R215" s="1" t="s">
        <v>204</v>
      </c>
      <c r="S215" s="1" t="s">
        <v>230</v>
      </c>
      <c r="T215" s="1" t="s">
        <v>231</v>
      </c>
      <c r="U215" s="41" t="s">
        <v>230</v>
      </c>
    </row>
    <row r="216" spans="1:21" ht="38.4" customHeight="1" x14ac:dyDescent="0.25">
      <c r="A216" s="2">
        <v>1109</v>
      </c>
      <c r="B216" s="18" t="s">
        <v>472</v>
      </c>
      <c r="C216" s="75" t="s">
        <v>537</v>
      </c>
      <c r="D216" s="3" t="s">
        <v>837</v>
      </c>
      <c r="E216" s="103"/>
      <c r="F216" s="1" t="s">
        <v>77</v>
      </c>
      <c r="G216" s="1"/>
      <c r="H216" s="1"/>
      <c r="I216" s="1"/>
      <c r="J216" s="57" t="s">
        <v>100</v>
      </c>
      <c r="K216" s="73"/>
      <c r="L216" s="4"/>
      <c r="M216" s="8" t="str">
        <f t="shared" si="12"/>
        <v>PRO</v>
      </c>
      <c r="N216" s="10" t="str">
        <f t="shared" ca="1" si="13"/>
        <v/>
      </c>
      <c r="O216" s="4"/>
      <c r="P216" s="8" t="s">
        <v>130</v>
      </c>
      <c r="Q216" s="16" t="s">
        <v>83</v>
      </c>
      <c r="R216" s="1"/>
      <c r="S216" s="1" t="s">
        <v>230</v>
      </c>
      <c r="T216" s="1" t="s">
        <v>231</v>
      </c>
      <c r="U216" s="41" t="s">
        <v>230</v>
      </c>
    </row>
    <row r="217" spans="1:21" ht="38.4" customHeight="1" x14ac:dyDescent="0.25">
      <c r="A217" s="2">
        <v>1108</v>
      </c>
      <c r="B217" s="18" t="s">
        <v>473</v>
      </c>
      <c r="C217" s="75" t="s">
        <v>537</v>
      </c>
      <c r="D217" s="3" t="s">
        <v>837</v>
      </c>
      <c r="E217" s="103"/>
      <c r="F217" s="1" t="s">
        <v>77</v>
      </c>
      <c r="G217" s="1"/>
      <c r="H217" s="1"/>
      <c r="I217" s="1"/>
      <c r="J217" s="57" t="s">
        <v>100</v>
      </c>
      <c r="K217" s="73"/>
      <c r="L217" s="4"/>
      <c r="M217" s="8" t="str">
        <f t="shared" si="12"/>
        <v>PRO</v>
      </c>
      <c r="N217" s="10" t="str">
        <f t="shared" ca="1" si="13"/>
        <v/>
      </c>
      <c r="O217" s="4"/>
      <c r="P217" s="8" t="s">
        <v>130</v>
      </c>
      <c r="Q217" s="16" t="s">
        <v>83</v>
      </c>
      <c r="R217" s="1"/>
      <c r="S217" s="1" t="s">
        <v>230</v>
      </c>
      <c r="T217" s="1" t="s">
        <v>231</v>
      </c>
      <c r="U217" s="41" t="s">
        <v>230</v>
      </c>
    </row>
    <row r="218" spans="1:21" ht="38.4" customHeight="1" x14ac:dyDescent="0.25">
      <c r="A218" s="2">
        <v>1106</v>
      </c>
      <c r="B218" s="18" t="s">
        <v>474</v>
      </c>
      <c r="C218" s="75" t="s">
        <v>537</v>
      </c>
      <c r="D218" s="3" t="s">
        <v>837</v>
      </c>
      <c r="E218" s="103"/>
      <c r="F218" s="1" t="s">
        <v>77</v>
      </c>
      <c r="G218" s="1"/>
      <c r="H218" s="1"/>
      <c r="I218" s="1"/>
      <c r="J218" s="57" t="s">
        <v>100</v>
      </c>
      <c r="K218" s="73"/>
      <c r="L218" s="4"/>
      <c r="M218" s="8" t="str">
        <f t="shared" si="12"/>
        <v>PRO</v>
      </c>
      <c r="N218" s="10" t="str">
        <f t="shared" ca="1" si="13"/>
        <v/>
      </c>
      <c r="O218" s="4"/>
      <c r="P218" s="8" t="s">
        <v>130</v>
      </c>
      <c r="Q218" s="16" t="s">
        <v>82</v>
      </c>
      <c r="R218" s="1" t="s">
        <v>204</v>
      </c>
      <c r="S218" s="1" t="s">
        <v>230</v>
      </c>
      <c r="T218" s="1" t="s">
        <v>231</v>
      </c>
      <c r="U218" s="41" t="s">
        <v>230</v>
      </c>
    </row>
    <row r="219" spans="1:21" ht="38.4" customHeight="1" x14ac:dyDescent="0.25">
      <c r="A219" s="2">
        <v>1104</v>
      </c>
      <c r="B219" s="18" t="s">
        <v>475</v>
      </c>
      <c r="C219" s="75" t="s">
        <v>537</v>
      </c>
      <c r="D219" s="3" t="s">
        <v>837</v>
      </c>
      <c r="E219" s="103"/>
      <c r="F219" s="1" t="s">
        <v>77</v>
      </c>
      <c r="G219" s="1"/>
      <c r="H219" s="1"/>
      <c r="I219" s="1"/>
      <c r="J219" s="57" t="s">
        <v>100</v>
      </c>
      <c r="K219" s="73"/>
      <c r="L219" s="4"/>
      <c r="M219" s="8" t="str">
        <f t="shared" si="12"/>
        <v>PRO</v>
      </c>
      <c r="N219" s="10" t="str">
        <f t="shared" ca="1" si="13"/>
        <v/>
      </c>
      <c r="O219" s="4"/>
      <c r="P219" s="8" t="s">
        <v>38</v>
      </c>
      <c r="Q219" s="16" t="s">
        <v>38</v>
      </c>
      <c r="R219" s="1"/>
      <c r="S219" s="1" t="s">
        <v>230</v>
      </c>
      <c r="T219" s="1" t="s">
        <v>231</v>
      </c>
      <c r="U219" s="41" t="s">
        <v>230</v>
      </c>
    </row>
    <row r="220" spans="1:21" ht="38.4" customHeight="1" x14ac:dyDescent="0.25">
      <c r="A220" s="2">
        <v>1102</v>
      </c>
      <c r="B220" s="18" t="s">
        <v>476</v>
      </c>
      <c r="C220" s="75" t="s">
        <v>538</v>
      </c>
      <c r="D220" s="3" t="s">
        <v>837</v>
      </c>
      <c r="E220" s="103"/>
      <c r="F220" s="1" t="s">
        <v>77</v>
      </c>
      <c r="G220" s="1"/>
      <c r="H220" s="1"/>
      <c r="I220" s="1"/>
      <c r="J220" s="57" t="s">
        <v>100</v>
      </c>
      <c r="K220" s="73"/>
      <c r="L220" s="4"/>
      <c r="M220" s="8" t="str">
        <f t="shared" si="12"/>
        <v>PRO</v>
      </c>
      <c r="N220" s="10" t="str">
        <f t="shared" ca="1" si="13"/>
        <v/>
      </c>
      <c r="O220" s="4"/>
      <c r="P220" s="8" t="s">
        <v>38</v>
      </c>
      <c r="Q220" s="16" t="s">
        <v>38</v>
      </c>
      <c r="R220" s="1"/>
      <c r="S220" s="1" t="s">
        <v>230</v>
      </c>
      <c r="T220" s="1" t="s">
        <v>231</v>
      </c>
      <c r="U220" s="41" t="s">
        <v>230</v>
      </c>
    </row>
    <row r="221" spans="1:21" ht="38.4" customHeight="1" x14ac:dyDescent="0.25">
      <c r="A221" s="2">
        <v>1101</v>
      </c>
      <c r="B221" s="18" t="s">
        <v>477</v>
      </c>
      <c r="C221" s="75" t="s">
        <v>537</v>
      </c>
      <c r="D221" s="3" t="s">
        <v>837</v>
      </c>
      <c r="E221" s="103"/>
      <c r="F221" s="1" t="s">
        <v>77</v>
      </c>
      <c r="G221" s="1"/>
      <c r="H221" s="1"/>
      <c r="I221" s="1"/>
      <c r="J221" s="57" t="s">
        <v>100</v>
      </c>
      <c r="K221" s="73"/>
      <c r="L221" s="4"/>
      <c r="M221" s="8" t="str">
        <f t="shared" si="12"/>
        <v>PRO</v>
      </c>
      <c r="N221" s="10" t="str">
        <f t="shared" ca="1" si="13"/>
        <v/>
      </c>
      <c r="O221" s="4"/>
      <c r="P221" s="8" t="s">
        <v>130</v>
      </c>
      <c r="Q221" s="16" t="s">
        <v>83</v>
      </c>
      <c r="R221" s="1"/>
      <c r="S221" s="1" t="s">
        <v>230</v>
      </c>
      <c r="T221" s="1" t="s">
        <v>230</v>
      </c>
      <c r="U221" s="41" t="s">
        <v>231</v>
      </c>
    </row>
    <row r="222" spans="1:21" ht="38.4" customHeight="1" x14ac:dyDescent="0.25">
      <c r="A222" s="2">
        <v>1100</v>
      </c>
      <c r="B222" s="18" t="s">
        <v>478</v>
      </c>
      <c r="C222" s="75" t="s">
        <v>537</v>
      </c>
      <c r="D222" s="3" t="s">
        <v>837</v>
      </c>
      <c r="E222" s="103"/>
      <c r="F222" s="1" t="s">
        <v>77</v>
      </c>
      <c r="G222" s="1"/>
      <c r="H222" s="1"/>
      <c r="I222" s="1"/>
      <c r="J222" s="57" t="s">
        <v>100</v>
      </c>
      <c r="K222" s="73"/>
      <c r="L222" s="4"/>
      <c r="M222" s="8" t="str">
        <f t="shared" si="12"/>
        <v>PRO</v>
      </c>
      <c r="N222" s="10" t="str">
        <f t="shared" ca="1" si="13"/>
        <v/>
      </c>
      <c r="O222" s="4"/>
      <c r="P222" s="8" t="s">
        <v>280</v>
      </c>
      <c r="Q222" s="16" t="s">
        <v>82</v>
      </c>
      <c r="R222" s="1" t="s">
        <v>204</v>
      </c>
      <c r="S222" s="1" t="s">
        <v>230</v>
      </c>
      <c r="T222" s="1" t="s">
        <v>230</v>
      </c>
      <c r="U222" s="41" t="s">
        <v>231</v>
      </c>
    </row>
    <row r="223" spans="1:21" ht="38.4" customHeight="1" x14ac:dyDescent="0.25">
      <c r="A223" s="2">
        <v>1099</v>
      </c>
      <c r="B223" s="18" t="s">
        <v>479</v>
      </c>
      <c r="C223" s="75" t="s">
        <v>537</v>
      </c>
      <c r="D223" s="3" t="s">
        <v>837</v>
      </c>
      <c r="E223" s="103"/>
      <c r="F223" s="1" t="s">
        <v>77</v>
      </c>
      <c r="G223" s="1"/>
      <c r="H223" s="1"/>
      <c r="I223" s="1"/>
      <c r="J223" s="57" t="s">
        <v>100</v>
      </c>
      <c r="K223" s="73"/>
      <c r="L223" s="4"/>
      <c r="M223" s="8" t="str">
        <f t="shared" si="12"/>
        <v>PRO</v>
      </c>
      <c r="N223" s="10" t="str">
        <f t="shared" ca="1" si="13"/>
        <v/>
      </c>
      <c r="O223" s="4"/>
      <c r="P223" s="8" t="s">
        <v>38</v>
      </c>
      <c r="Q223" s="16" t="s">
        <v>38</v>
      </c>
      <c r="R223" s="1"/>
      <c r="S223" s="1" t="s">
        <v>230</v>
      </c>
      <c r="T223" s="1" t="s">
        <v>231</v>
      </c>
      <c r="U223" s="41" t="s">
        <v>230</v>
      </c>
    </row>
    <row r="224" spans="1:21" ht="38.4" customHeight="1" x14ac:dyDescent="0.25">
      <c r="A224" s="2">
        <v>940</v>
      </c>
      <c r="B224" s="18" t="s">
        <v>480</v>
      </c>
      <c r="C224" s="75" t="s">
        <v>539</v>
      </c>
      <c r="D224" s="3" t="s">
        <v>837</v>
      </c>
      <c r="E224" s="103"/>
      <c r="F224" s="1" t="s">
        <v>213</v>
      </c>
      <c r="G224" s="1"/>
      <c r="H224" s="1"/>
      <c r="I224" s="1"/>
      <c r="J224" s="57" t="s">
        <v>100</v>
      </c>
      <c r="K224" s="73"/>
      <c r="L224" s="4"/>
      <c r="M224" s="8" t="str">
        <f t="shared" si="12"/>
        <v>PRO</v>
      </c>
      <c r="N224" s="10" t="str">
        <f t="shared" ca="1" si="13"/>
        <v/>
      </c>
      <c r="O224" s="4"/>
      <c r="P224" s="8" t="s">
        <v>38</v>
      </c>
      <c r="Q224" s="16" t="s">
        <v>38</v>
      </c>
      <c r="R224" s="1"/>
      <c r="S224" s="1" t="s">
        <v>230</v>
      </c>
      <c r="T224" s="1" t="s">
        <v>231</v>
      </c>
      <c r="U224" s="41" t="s">
        <v>230</v>
      </c>
    </row>
    <row r="225" spans="1:21" ht="38.4" customHeight="1" x14ac:dyDescent="0.25">
      <c r="A225" s="2">
        <v>939</v>
      </c>
      <c r="B225" s="18" t="s">
        <v>481</v>
      </c>
      <c r="C225" s="75" t="s">
        <v>539</v>
      </c>
      <c r="D225" s="3" t="s">
        <v>837</v>
      </c>
      <c r="E225" s="103"/>
      <c r="F225" s="1" t="s">
        <v>213</v>
      </c>
      <c r="G225" s="1"/>
      <c r="H225" s="1"/>
      <c r="I225" s="1"/>
      <c r="J225" s="57">
        <v>45345</v>
      </c>
      <c r="K225" s="73">
        <v>45716</v>
      </c>
      <c r="L225" s="4"/>
      <c r="M225" s="8" t="str">
        <f t="shared" si="12"/>
        <v>PRO</v>
      </c>
      <c r="N225" s="10" t="str">
        <f t="shared" ca="1" si="13"/>
        <v>SIM</v>
      </c>
      <c r="O225" s="4"/>
      <c r="P225" s="8" t="s">
        <v>130</v>
      </c>
      <c r="Q225" s="16" t="s">
        <v>83</v>
      </c>
      <c r="R225" s="1"/>
      <c r="S225" s="1" t="s">
        <v>231</v>
      </c>
      <c r="T225" s="1" t="s">
        <v>231</v>
      </c>
      <c r="U225" s="41" t="s">
        <v>230</v>
      </c>
    </row>
    <row r="226" spans="1:21" ht="38.4" customHeight="1" x14ac:dyDescent="0.25">
      <c r="A226" s="2">
        <v>937</v>
      </c>
      <c r="B226" s="18" t="s">
        <v>482</v>
      </c>
      <c r="C226" s="75" t="s">
        <v>539</v>
      </c>
      <c r="D226" s="3" t="s">
        <v>837</v>
      </c>
      <c r="E226" s="103"/>
      <c r="F226" s="1" t="s">
        <v>213</v>
      </c>
      <c r="G226" s="1"/>
      <c r="H226" s="1"/>
      <c r="I226" s="1"/>
      <c r="J226" s="57" t="s">
        <v>100</v>
      </c>
      <c r="K226" s="73"/>
      <c r="L226" s="4"/>
      <c r="M226" s="8" t="str">
        <f t="shared" si="12"/>
        <v>PRO</v>
      </c>
      <c r="N226" s="10" t="str">
        <f t="shared" ca="1" si="13"/>
        <v/>
      </c>
      <c r="O226" s="4"/>
      <c r="P226" s="8" t="s">
        <v>130</v>
      </c>
      <c r="Q226" s="16" t="s">
        <v>82</v>
      </c>
      <c r="R226" s="1"/>
      <c r="S226" s="1" t="s">
        <v>230</v>
      </c>
      <c r="T226" s="1" t="s">
        <v>231</v>
      </c>
      <c r="U226" s="41" t="s">
        <v>230</v>
      </c>
    </row>
    <row r="227" spans="1:21" ht="38.4" customHeight="1" x14ac:dyDescent="0.25">
      <c r="A227" s="2">
        <v>936</v>
      </c>
      <c r="B227" s="18" t="s">
        <v>483</v>
      </c>
      <c r="C227" s="75" t="s">
        <v>539</v>
      </c>
      <c r="D227" s="3" t="s">
        <v>837</v>
      </c>
      <c r="E227" s="103"/>
      <c r="F227" s="1" t="s">
        <v>213</v>
      </c>
      <c r="G227" s="1"/>
      <c r="H227" s="1"/>
      <c r="I227" s="1"/>
      <c r="J227" s="57" t="s">
        <v>100</v>
      </c>
      <c r="K227" s="73"/>
      <c r="L227" s="4"/>
      <c r="M227" s="8" t="str">
        <f t="shared" si="12"/>
        <v>PRO</v>
      </c>
      <c r="N227" s="10" t="str">
        <f t="shared" ca="1" si="13"/>
        <v/>
      </c>
      <c r="O227" s="4"/>
      <c r="P227" s="8" t="s">
        <v>130</v>
      </c>
      <c r="Q227" s="16" t="s">
        <v>83</v>
      </c>
      <c r="R227" s="1"/>
      <c r="S227" s="1" t="s">
        <v>230</v>
      </c>
      <c r="T227" s="1" t="s">
        <v>231</v>
      </c>
      <c r="U227" s="41" t="s">
        <v>230</v>
      </c>
    </row>
    <row r="228" spans="1:21" ht="38.4" customHeight="1" x14ac:dyDescent="0.25">
      <c r="A228" s="2">
        <v>932</v>
      </c>
      <c r="B228" s="18" t="s">
        <v>484</v>
      </c>
      <c r="C228" s="75" t="s">
        <v>539</v>
      </c>
      <c r="D228" s="3" t="s">
        <v>837</v>
      </c>
      <c r="E228" s="103"/>
      <c r="F228" s="1" t="s">
        <v>213</v>
      </c>
      <c r="G228" s="1"/>
      <c r="H228" s="1"/>
      <c r="I228" s="1"/>
      <c r="J228" s="57" t="s">
        <v>100</v>
      </c>
      <c r="K228" s="73"/>
      <c r="L228" s="4"/>
      <c r="M228" s="8" t="str">
        <f t="shared" si="12"/>
        <v>PRO</v>
      </c>
      <c r="N228" s="10" t="str">
        <f t="shared" ca="1" si="13"/>
        <v/>
      </c>
      <c r="O228" s="4"/>
      <c r="P228" s="8" t="s">
        <v>38</v>
      </c>
      <c r="Q228" s="16" t="s">
        <v>38</v>
      </c>
      <c r="R228" s="1"/>
      <c r="S228" s="1" t="s">
        <v>230</v>
      </c>
      <c r="T228" s="1" t="s">
        <v>231</v>
      </c>
      <c r="U228" s="41" t="s">
        <v>230</v>
      </c>
    </row>
    <row r="229" spans="1:21" ht="38.4" customHeight="1" x14ac:dyDescent="0.25">
      <c r="A229" s="2">
        <v>804</v>
      </c>
      <c r="B229" s="18" t="s">
        <v>485</v>
      </c>
      <c r="C229" s="75" t="s">
        <v>540</v>
      </c>
      <c r="D229" s="3" t="s">
        <v>837</v>
      </c>
      <c r="E229" s="103"/>
      <c r="F229" s="1" t="s">
        <v>78</v>
      </c>
      <c r="G229" s="1"/>
      <c r="H229" s="1"/>
      <c r="I229" s="1"/>
      <c r="J229" s="57" t="s">
        <v>100</v>
      </c>
      <c r="K229" s="73"/>
      <c r="L229" s="4"/>
      <c r="M229" s="8" t="str">
        <f t="shared" si="12"/>
        <v>PRO</v>
      </c>
      <c r="N229" s="10" t="str">
        <f t="shared" ca="1" si="13"/>
        <v/>
      </c>
      <c r="O229" s="4"/>
      <c r="P229" s="8" t="s">
        <v>38</v>
      </c>
      <c r="Q229" s="16" t="s">
        <v>38</v>
      </c>
      <c r="R229" s="1"/>
      <c r="S229" s="1" t="s">
        <v>230</v>
      </c>
      <c r="T229" s="1" t="s">
        <v>231</v>
      </c>
      <c r="U229" s="41" t="s">
        <v>230</v>
      </c>
    </row>
    <row r="230" spans="1:21" ht="38.4" customHeight="1" x14ac:dyDescent="0.25">
      <c r="A230" s="2">
        <v>800</v>
      </c>
      <c r="B230" s="18" t="s">
        <v>486</v>
      </c>
      <c r="C230" s="75" t="s">
        <v>541</v>
      </c>
      <c r="D230" s="3" t="s">
        <v>837</v>
      </c>
      <c r="E230" s="103"/>
      <c r="F230" s="1" t="s">
        <v>78</v>
      </c>
      <c r="G230" s="1"/>
      <c r="H230" s="1"/>
      <c r="I230" s="1"/>
      <c r="J230" s="57" t="s">
        <v>100</v>
      </c>
      <c r="K230" s="73"/>
      <c r="L230" s="4"/>
      <c r="M230" s="8" t="str">
        <f t="shared" si="12"/>
        <v>PRO</v>
      </c>
      <c r="N230" s="10" t="str">
        <f t="shared" ca="1" si="13"/>
        <v/>
      </c>
      <c r="O230" s="4"/>
      <c r="P230" s="8" t="s">
        <v>130</v>
      </c>
      <c r="Q230" s="16" t="s">
        <v>83</v>
      </c>
      <c r="R230" s="1"/>
      <c r="S230" s="1" t="s">
        <v>230</v>
      </c>
      <c r="T230" s="1" t="s">
        <v>231</v>
      </c>
      <c r="U230" s="41" t="s">
        <v>230</v>
      </c>
    </row>
    <row r="231" spans="1:21" ht="38.4" customHeight="1" x14ac:dyDescent="0.25">
      <c r="A231" s="2">
        <v>808</v>
      </c>
      <c r="B231" s="18" t="s">
        <v>487</v>
      </c>
      <c r="C231" s="75" t="s">
        <v>536</v>
      </c>
      <c r="D231" s="3" t="s">
        <v>837</v>
      </c>
      <c r="E231" s="103"/>
      <c r="F231" s="1" t="s">
        <v>535</v>
      </c>
      <c r="G231" s="1"/>
      <c r="H231" s="1"/>
      <c r="I231" s="1"/>
      <c r="J231" s="57" t="s">
        <v>100</v>
      </c>
      <c r="K231" s="73"/>
      <c r="L231" s="4"/>
      <c r="M231" s="8" t="str">
        <f t="shared" si="12"/>
        <v>PRO</v>
      </c>
      <c r="N231" s="10" t="str">
        <f t="shared" ca="1" si="13"/>
        <v/>
      </c>
      <c r="O231" s="4"/>
      <c r="P231" s="8" t="s">
        <v>38</v>
      </c>
      <c r="Q231" s="16" t="s">
        <v>38</v>
      </c>
      <c r="R231" s="1"/>
      <c r="S231" s="1" t="s">
        <v>230</v>
      </c>
      <c r="T231" s="1" t="s">
        <v>231</v>
      </c>
      <c r="U231" s="41" t="s">
        <v>230</v>
      </c>
    </row>
    <row r="232" spans="1:21" ht="38.4" customHeight="1" x14ac:dyDescent="0.25">
      <c r="A232" s="2">
        <v>807</v>
      </c>
      <c r="B232" s="18" t="s">
        <v>488</v>
      </c>
      <c r="C232" s="75" t="s">
        <v>536</v>
      </c>
      <c r="D232" s="3" t="s">
        <v>837</v>
      </c>
      <c r="E232" s="103"/>
      <c r="F232" s="1" t="s">
        <v>535</v>
      </c>
      <c r="G232" s="1"/>
      <c r="H232" s="1"/>
      <c r="I232" s="1"/>
      <c r="J232" s="57">
        <v>45040</v>
      </c>
      <c r="K232" s="73">
        <v>45412</v>
      </c>
      <c r="L232" s="4">
        <v>12</v>
      </c>
      <c r="M232" s="8" t="str">
        <f t="shared" si="12"/>
        <v>PRO</v>
      </c>
      <c r="N232" s="10" t="str">
        <f t="shared" ca="1" si="13"/>
        <v>SIM</v>
      </c>
      <c r="O232" s="4"/>
      <c r="P232" s="8" t="s">
        <v>38</v>
      </c>
      <c r="Q232" s="16" t="s">
        <v>38</v>
      </c>
      <c r="R232" s="1"/>
      <c r="S232" s="1" t="s">
        <v>231</v>
      </c>
      <c r="T232" s="1" t="s">
        <v>231</v>
      </c>
      <c r="U232" s="41" t="s">
        <v>230</v>
      </c>
    </row>
    <row r="233" spans="1:21" ht="38.4" customHeight="1" x14ac:dyDescent="0.25">
      <c r="A233" s="2">
        <v>803</v>
      </c>
      <c r="B233" s="18" t="s">
        <v>489</v>
      </c>
      <c r="C233" s="75" t="s">
        <v>541</v>
      </c>
      <c r="D233" s="3" t="s">
        <v>837</v>
      </c>
      <c r="E233" s="103"/>
      <c r="F233" s="1" t="s">
        <v>78</v>
      </c>
      <c r="G233" s="1"/>
      <c r="H233" s="1"/>
      <c r="I233" s="1"/>
      <c r="J233" s="57" t="s">
        <v>100</v>
      </c>
      <c r="K233" s="73"/>
      <c r="L233" s="4"/>
      <c r="M233" s="8" t="str">
        <f t="shared" si="12"/>
        <v>PRO</v>
      </c>
      <c r="N233" s="10" t="str">
        <f t="shared" ca="1" si="13"/>
        <v/>
      </c>
      <c r="O233" s="4"/>
      <c r="P233" s="8" t="s">
        <v>130</v>
      </c>
      <c r="Q233" s="16" t="s">
        <v>82</v>
      </c>
      <c r="R233" s="1"/>
      <c r="S233" s="1" t="s">
        <v>230</v>
      </c>
      <c r="T233" s="1" t="s">
        <v>231</v>
      </c>
      <c r="U233" s="41" t="s">
        <v>230</v>
      </c>
    </row>
    <row r="234" spans="1:21" ht="38.4" customHeight="1" x14ac:dyDescent="0.25">
      <c r="A234" s="2">
        <v>801</v>
      </c>
      <c r="B234" s="18" t="s">
        <v>490</v>
      </c>
      <c r="C234" s="75" t="s">
        <v>541</v>
      </c>
      <c r="D234" s="3" t="s">
        <v>837</v>
      </c>
      <c r="E234" s="103"/>
      <c r="F234" s="1" t="s">
        <v>78</v>
      </c>
      <c r="G234" s="1"/>
      <c r="H234" s="1"/>
      <c r="I234" s="1"/>
      <c r="J234" s="57" t="s">
        <v>100</v>
      </c>
      <c r="K234" s="73"/>
      <c r="L234" s="4"/>
      <c r="M234" s="8" t="str">
        <f t="shared" si="12"/>
        <v>PRO</v>
      </c>
      <c r="N234" s="10" t="str">
        <f t="shared" ca="1" si="13"/>
        <v/>
      </c>
      <c r="O234" s="4"/>
      <c r="P234" s="8" t="s">
        <v>130</v>
      </c>
      <c r="Q234" s="16" t="s">
        <v>82</v>
      </c>
      <c r="R234" s="1"/>
      <c r="S234" s="1" t="s">
        <v>230</v>
      </c>
      <c r="T234" s="1" t="s">
        <v>231</v>
      </c>
      <c r="U234" s="41" t="s">
        <v>230</v>
      </c>
    </row>
    <row r="235" spans="1:21" ht="38.4" customHeight="1" x14ac:dyDescent="0.25">
      <c r="A235" s="2">
        <v>798</v>
      </c>
      <c r="B235" s="18" t="s">
        <v>491</v>
      </c>
      <c r="C235" s="75" t="s">
        <v>542</v>
      </c>
      <c r="D235" s="3" t="s">
        <v>837</v>
      </c>
      <c r="E235" s="103"/>
      <c r="F235" s="1" t="s">
        <v>78</v>
      </c>
      <c r="G235" s="1"/>
      <c r="H235" s="1"/>
      <c r="I235" s="1"/>
      <c r="J235" s="57" t="s">
        <v>100</v>
      </c>
      <c r="K235" s="73"/>
      <c r="L235" s="4"/>
      <c r="M235" s="8" t="str">
        <f t="shared" si="12"/>
        <v>PRO</v>
      </c>
      <c r="N235" s="10" t="str">
        <f t="shared" ca="1" si="13"/>
        <v/>
      </c>
      <c r="O235" s="4"/>
      <c r="P235" s="8" t="s">
        <v>130</v>
      </c>
      <c r="Q235" s="16" t="s">
        <v>82</v>
      </c>
      <c r="R235" s="1"/>
      <c r="S235" s="1" t="s">
        <v>230</v>
      </c>
      <c r="T235" s="1" t="s">
        <v>231</v>
      </c>
      <c r="U235" s="41" t="s">
        <v>230</v>
      </c>
    </row>
    <row r="236" spans="1:21" ht="38.4" customHeight="1" x14ac:dyDescent="0.25">
      <c r="A236" s="2">
        <v>769</v>
      </c>
      <c r="B236" s="18" t="s">
        <v>492</v>
      </c>
      <c r="C236" s="75" t="s">
        <v>543</v>
      </c>
      <c r="D236" s="3" t="s">
        <v>837</v>
      </c>
      <c r="E236" s="103"/>
      <c r="F236" s="1" t="s">
        <v>544</v>
      </c>
      <c r="G236" s="1"/>
      <c r="H236" s="1"/>
      <c r="I236" s="1"/>
      <c r="J236" s="57" t="s">
        <v>100</v>
      </c>
      <c r="K236" s="73"/>
      <c r="L236" s="4"/>
      <c r="M236" s="8" t="str">
        <f t="shared" si="12"/>
        <v>PRO</v>
      </c>
      <c r="N236" s="10" t="str">
        <f t="shared" ca="1" si="13"/>
        <v/>
      </c>
      <c r="O236" s="4"/>
      <c r="P236" s="8" t="s">
        <v>38</v>
      </c>
      <c r="Q236" s="16" t="s">
        <v>38</v>
      </c>
      <c r="R236" s="1"/>
      <c r="S236" s="1" t="s">
        <v>230</v>
      </c>
      <c r="T236" s="1" t="s">
        <v>231</v>
      </c>
      <c r="U236" s="41" t="s">
        <v>230</v>
      </c>
    </row>
    <row r="237" spans="1:21" ht="38.4" customHeight="1" x14ac:dyDescent="0.25">
      <c r="A237" s="2">
        <v>721</v>
      </c>
      <c r="B237" s="18" t="s">
        <v>493</v>
      </c>
      <c r="C237" s="75" t="s">
        <v>543</v>
      </c>
      <c r="D237" s="3" t="s">
        <v>837</v>
      </c>
      <c r="E237" s="103"/>
      <c r="F237" s="1" t="s">
        <v>544</v>
      </c>
      <c r="G237" s="1"/>
      <c r="H237" s="1"/>
      <c r="I237" s="1"/>
      <c r="J237" s="57" t="s">
        <v>100</v>
      </c>
      <c r="K237" s="73"/>
      <c r="L237" s="4"/>
      <c r="M237" s="8" t="str">
        <f t="shared" si="12"/>
        <v>PRO</v>
      </c>
      <c r="N237" s="10" t="str">
        <f t="shared" ca="1" si="13"/>
        <v/>
      </c>
      <c r="O237" s="4"/>
      <c r="P237" s="8" t="s">
        <v>38</v>
      </c>
      <c r="Q237" s="16" t="s">
        <v>38</v>
      </c>
      <c r="R237" s="1"/>
      <c r="S237" s="1" t="s">
        <v>230</v>
      </c>
      <c r="T237" s="1" t="s">
        <v>231</v>
      </c>
      <c r="U237" s="41" t="s">
        <v>230</v>
      </c>
    </row>
    <row r="238" spans="1:21" ht="38.4" customHeight="1" x14ac:dyDescent="0.25">
      <c r="A238" s="2">
        <v>720</v>
      </c>
      <c r="B238" s="18" t="s">
        <v>494</v>
      </c>
      <c r="C238" s="75" t="s">
        <v>545</v>
      </c>
      <c r="D238" s="3" t="s">
        <v>837</v>
      </c>
      <c r="E238" s="103"/>
      <c r="F238" s="1" t="s">
        <v>213</v>
      </c>
      <c r="G238" s="1"/>
      <c r="H238" s="1"/>
      <c r="I238" s="1"/>
      <c r="J238" s="57" t="s">
        <v>100</v>
      </c>
      <c r="K238" s="73"/>
      <c r="L238" s="4"/>
      <c r="M238" s="8" t="str">
        <f t="shared" si="12"/>
        <v>PRO</v>
      </c>
      <c r="N238" s="10" t="str">
        <f t="shared" ca="1" si="13"/>
        <v/>
      </c>
      <c r="O238" s="4"/>
      <c r="P238" s="8" t="s">
        <v>38</v>
      </c>
      <c r="Q238" s="16" t="s">
        <v>38</v>
      </c>
      <c r="R238" s="1"/>
      <c r="S238" s="1" t="s">
        <v>230</v>
      </c>
      <c r="T238" s="1" t="s">
        <v>231</v>
      </c>
      <c r="U238" s="41" t="s">
        <v>230</v>
      </c>
    </row>
    <row r="239" spans="1:21" ht="38.4" customHeight="1" x14ac:dyDescent="0.25">
      <c r="A239" s="2">
        <v>719</v>
      </c>
      <c r="B239" s="18" t="s">
        <v>495</v>
      </c>
      <c r="C239" s="75" t="s">
        <v>545</v>
      </c>
      <c r="D239" s="3" t="s">
        <v>837</v>
      </c>
      <c r="E239" s="103"/>
      <c r="F239" s="1" t="s">
        <v>213</v>
      </c>
      <c r="G239" s="1"/>
      <c r="H239" s="1"/>
      <c r="I239" s="1"/>
      <c r="J239" s="57" t="s">
        <v>100</v>
      </c>
      <c r="K239" s="73"/>
      <c r="L239" s="4"/>
      <c r="M239" s="8" t="str">
        <f t="shared" si="12"/>
        <v>PRO</v>
      </c>
      <c r="N239" s="10" t="str">
        <f t="shared" ca="1" si="13"/>
        <v/>
      </c>
      <c r="O239" s="4"/>
      <c r="P239" s="8" t="s">
        <v>130</v>
      </c>
      <c r="Q239" s="16" t="s">
        <v>82</v>
      </c>
      <c r="R239" s="1" t="s">
        <v>204</v>
      </c>
      <c r="S239" s="1" t="s">
        <v>230</v>
      </c>
      <c r="T239" s="1" t="s">
        <v>231</v>
      </c>
      <c r="U239" s="41" t="s">
        <v>230</v>
      </c>
    </row>
    <row r="240" spans="1:21" ht="38.4" customHeight="1" x14ac:dyDescent="0.25">
      <c r="A240" s="2">
        <v>716</v>
      </c>
      <c r="B240" s="18" t="s">
        <v>496</v>
      </c>
      <c r="C240" s="75" t="s">
        <v>545</v>
      </c>
      <c r="D240" s="3" t="s">
        <v>837</v>
      </c>
      <c r="E240" s="103"/>
      <c r="F240" s="1" t="s">
        <v>213</v>
      </c>
      <c r="G240" s="1"/>
      <c r="H240" s="1"/>
      <c r="I240" s="1"/>
      <c r="J240" s="57" t="s">
        <v>100</v>
      </c>
      <c r="K240" s="73"/>
      <c r="L240" s="4"/>
      <c r="M240" s="8" t="str">
        <f t="shared" si="12"/>
        <v>PRO</v>
      </c>
      <c r="N240" s="10" t="str">
        <f t="shared" ca="1" si="13"/>
        <v/>
      </c>
      <c r="O240" s="4"/>
      <c r="P240" s="8" t="s">
        <v>38</v>
      </c>
      <c r="Q240" s="16" t="s">
        <v>38</v>
      </c>
      <c r="R240" s="1"/>
      <c r="S240" s="1" t="s">
        <v>230</v>
      </c>
      <c r="T240" s="1" t="s">
        <v>231</v>
      </c>
      <c r="U240" s="41" t="s">
        <v>230</v>
      </c>
    </row>
    <row r="241" spans="1:21" ht="38.4" customHeight="1" x14ac:dyDescent="0.25">
      <c r="A241" s="2">
        <v>713</v>
      </c>
      <c r="B241" s="18" t="s">
        <v>497</v>
      </c>
      <c r="C241" s="75" t="s">
        <v>546</v>
      </c>
      <c r="D241" s="3" t="s">
        <v>837</v>
      </c>
      <c r="E241" s="103"/>
      <c r="F241" s="1" t="s">
        <v>213</v>
      </c>
      <c r="G241" s="1"/>
      <c r="H241" s="1"/>
      <c r="I241" s="1"/>
      <c r="J241" s="57" t="s">
        <v>100</v>
      </c>
      <c r="K241" s="73"/>
      <c r="L241" s="4"/>
      <c r="M241" s="8" t="str">
        <f t="shared" si="12"/>
        <v>PRO</v>
      </c>
      <c r="N241" s="10" t="str">
        <f t="shared" ca="1" si="13"/>
        <v/>
      </c>
      <c r="O241" s="4"/>
      <c r="P241" s="8" t="s">
        <v>38</v>
      </c>
      <c r="Q241" s="16" t="s">
        <v>38</v>
      </c>
      <c r="R241" s="1"/>
      <c r="S241" s="1" t="s">
        <v>230</v>
      </c>
      <c r="T241" s="1" t="s">
        <v>231</v>
      </c>
      <c r="U241" s="41" t="s">
        <v>230</v>
      </c>
    </row>
    <row r="242" spans="1:21" ht="38.4" customHeight="1" x14ac:dyDescent="0.25">
      <c r="A242" s="2">
        <v>715</v>
      </c>
      <c r="B242" s="18" t="s">
        <v>498</v>
      </c>
      <c r="C242" s="75" t="s">
        <v>545</v>
      </c>
      <c r="D242" s="3" t="s">
        <v>837</v>
      </c>
      <c r="E242" s="103"/>
      <c r="F242" s="1" t="s">
        <v>213</v>
      </c>
      <c r="G242" s="1"/>
      <c r="H242" s="1"/>
      <c r="I242" s="1"/>
      <c r="J242" s="57" t="s">
        <v>100</v>
      </c>
      <c r="K242" s="73"/>
      <c r="L242" s="4"/>
      <c r="M242" s="8" t="str">
        <f t="shared" si="12"/>
        <v>PRO</v>
      </c>
      <c r="N242" s="10" t="str">
        <f t="shared" ca="1" si="13"/>
        <v/>
      </c>
      <c r="O242" s="4"/>
      <c r="P242" s="8" t="s">
        <v>38</v>
      </c>
      <c r="Q242" s="16" t="s">
        <v>38</v>
      </c>
      <c r="R242" s="1"/>
      <c r="S242" s="1" t="s">
        <v>230</v>
      </c>
      <c r="T242" s="1" t="s">
        <v>231</v>
      </c>
      <c r="U242" s="41" t="s">
        <v>230</v>
      </c>
    </row>
    <row r="243" spans="1:21" ht="38.4" customHeight="1" x14ac:dyDescent="0.25">
      <c r="A243" s="2">
        <v>714</v>
      </c>
      <c r="B243" s="18" t="s">
        <v>499</v>
      </c>
      <c r="C243" s="75" t="s">
        <v>545</v>
      </c>
      <c r="D243" s="3" t="s">
        <v>837</v>
      </c>
      <c r="E243" s="103"/>
      <c r="F243" s="1" t="s">
        <v>213</v>
      </c>
      <c r="G243" s="1"/>
      <c r="H243" s="1"/>
      <c r="I243" s="1"/>
      <c r="J243" s="57" t="s">
        <v>100</v>
      </c>
      <c r="K243" s="73"/>
      <c r="L243" s="4"/>
      <c r="M243" s="8" t="str">
        <f t="shared" si="12"/>
        <v>PRO</v>
      </c>
      <c r="N243" s="10" t="str">
        <f t="shared" ca="1" si="13"/>
        <v/>
      </c>
      <c r="O243" s="4"/>
      <c r="P243" s="8" t="s">
        <v>130</v>
      </c>
      <c r="Q243" s="16" t="s">
        <v>82</v>
      </c>
      <c r="R243" s="1"/>
      <c r="S243" s="1" t="s">
        <v>230</v>
      </c>
      <c r="T243" s="1" t="s">
        <v>231</v>
      </c>
      <c r="U243" s="41" t="s">
        <v>230</v>
      </c>
    </row>
    <row r="244" spans="1:21" ht="38.4" customHeight="1" x14ac:dyDescent="0.25">
      <c r="A244" s="2">
        <v>711</v>
      </c>
      <c r="B244" s="18" t="s">
        <v>500</v>
      </c>
      <c r="C244" s="75" t="s">
        <v>545</v>
      </c>
      <c r="D244" s="3" t="s">
        <v>837</v>
      </c>
      <c r="E244" s="103"/>
      <c r="F244" s="1" t="s">
        <v>213</v>
      </c>
      <c r="G244" s="1"/>
      <c r="H244" s="1"/>
      <c r="I244" s="1"/>
      <c r="J244" s="57" t="s">
        <v>100</v>
      </c>
      <c r="K244" s="73"/>
      <c r="L244" s="4"/>
      <c r="M244" s="8" t="str">
        <f t="shared" si="12"/>
        <v>PRO</v>
      </c>
      <c r="N244" s="10" t="str">
        <f t="shared" ca="1" si="13"/>
        <v/>
      </c>
      <c r="O244" s="4"/>
      <c r="P244" s="8" t="s">
        <v>38</v>
      </c>
      <c r="Q244" s="16" t="s">
        <v>38</v>
      </c>
      <c r="R244" s="1"/>
      <c r="S244" s="1" t="s">
        <v>230</v>
      </c>
      <c r="T244" s="1" t="s">
        <v>231</v>
      </c>
      <c r="U244" s="41" t="s">
        <v>230</v>
      </c>
    </row>
    <row r="245" spans="1:21" ht="38.4" customHeight="1" x14ac:dyDescent="0.25">
      <c r="A245" s="2">
        <v>709</v>
      </c>
      <c r="B245" s="18" t="s">
        <v>501</v>
      </c>
      <c r="C245" s="75" t="s">
        <v>545</v>
      </c>
      <c r="D245" s="3" t="s">
        <v>837</v>
      </c>
      <c r="E245" s="103"/>
      <c r="F245" s="1" t="s">
        <v>213</v>
      </c>
      <c r="G245" s="1"/>
      <c r="H245" s="1"/>
      <c r="I245" s="1"/>
      <c r="J245" s="57" t="s">
        <v>100</v>
      </c>
      <c r="K245" s="73"/>
      <c r="L245" s="4"/>
      <c r="M245" s="8" t="str">
        <f t="shared" si="12"/>
        <v>PRO</v>
      </c>
      <c r="N245" s="10" t="str">
        <f t="shared" ca="1" si="13"/>
        <v/>
      </c>
      <c r="O245" s="4"/>
      <c r="P245" s="8" t="s">
        <v>38</v>
      </c>
      <c r="Q245" s="16" t="s">
        <v>38</v>
      </c>
      <c r="R245" s="1"/>
      <c r="S245" s="1" t="s">
        <v>230</v>
      </c>
      <c r="T245" s="1" t="s">
        <v>231</v>
      </c>
      <c r="U245" s="41" t="s">
        <v>230</v>
      </c>
    </row>
    <row r="246" spans="1:21" ht="38.4" customHeight="1" x14ac:dyDescent="0.25">
      <c r="A246" s="2">
        <v>705</v>
      </c>
      <c r="B246" s="18" t="s">
        <v>502</v>
      </c>
      <c r="C246" s="75" t="s">
        <v>545</v>
      </c>
      <c r="D246" s="3" t="s">
        <v>837</v>
      </c>
      <c r="E246" s="103"/>
      <c r="F246" s="1" t="s">
        <v>213</v>
      </c>
      <c r="G246" s="1"/>
      <c r="H246" s="1"/>
      <c r="I246" s="1"/>
      <c r="J246" s="57" t="s">
        <v>100</v>
      </c>
      <c r="K246" s="73"/>
      <c r="L246" s="4"/>
      <c r="M246" s="8" t="str">
        <f t="shared" si="12"/>
        <v>PRO</v>
      </c>
      <c r="N246" s="10" t="str">
        <f t="shared" ca="1" si="13"/>
        <v/>
      </c>
      <c r="O246" s="4"/>
      <c r="P246" s="8" t="s">
        <v>130</v>
      </c>
      <c r="Q246" s="16" t="s">
        <v>82</v>
      </c>
      <c r="R246" s="1"/>
      <c r="S246" s="1" t="s">
        <v>230</v>
      </c>
      <c r="T246" s="1" t="s">
        <v>231</v>
      </c>
      <c r="U246" s="41" t="s">
        <v>230</v>
      </c>
    </row>
    <row r="247" spans="1:21" ht="38.4" customHeight="1" x14ac:dyDescent="0.25">
      <c r="A247" s="2">
        <v>703</v>
      </c>
      <c r="B247" s="18" t="s">
        <v>503</v>
      </c>
      <c r="C247" s="75" t="s">
        <v>545</v>
      </c>
      <c r="D247" s="3" t="s">
        <v>837</v>
      </c>
      <c r="E247" s="103"/>
      <c r="F247" s="1" t="s">
        <v>213</v>
      </c>
      <c r="G247" s="1"/>
      <c r="H247" s="1"/>
      <c r="I247" s="1"/>
      <c r="J247" s="57" t="s">
        <v>100</v>
      </c>
      <c r="K247" s="73"/>
      <c r="L247" s="4"/>
      <c r="M247" s="8" t="str">
        <f t="shared" si="12"/>
        <v>PRO</v>
      </c>
      <c r="N247" s="10" t="str">
        <f t="shared" ca="1" si="13"/>
        <v/>
      </c>
      <c r="O247" s="4"/>
      <c r="P247" s="8" t="s">
        <v>130</v>
      </c>
      <c r="Q247" s="16" t="s">
        <v>83</v>
      </c>
      <c r="R247" s="1"/>
      <c r="S247" s="1" t="s">
        <v>230</v>
      </c>
      <c r="T247" s="1" t="s">
        <v>231</v>
      </c>
      <c r="U247" s="41" t="s">
        <v>230</v>
      </c>
    </row>
    <row r="248" spans="1:21" ht="38.4" customHeight="1" x14ac:dyDescent="0.25">
      <c r="A248" s="2">
        <v>657</v>
      </c>
      <c r="B248" s="18" t="s">
        <v>504</v>
      </c>
      <c r="C248" s="75" t="s">
        <v>547</v>
      </c>
      <c r="D248" s="3" t="s">
        <v>837</v>
      </c>
      <c r="E248" s="103"/>
      <c r="F248" s="1" t="s">
        <v>78</v>
      </c>
      <c r="G248" s="1"/>
      <c r="H248" s="1"/>
      <c r="I248" s="1"/>
      <c r="J248" s="57" t="s">
        <v>100</v>
      </c>
      <c r="K248" s="73"/>
      <c r="L248" s="4"/>
      <c r="M248" s="8" t="str">
        <f t="shared" si="12"/>
        <v>PRO</v>
      </c>
      <c r="N248" s="10" t="str">
        <f t="shared" ca="1" si="13"/>
        <v/>
      </c>
      <c r="O248" s="4"/>
      <c r="P248" s="8" t="s">
        <v>38</v>
      </c>
      <c r="Q248" s="16" t="s">
        <v>38</v>
      </c>
      <c r="R248" s="1"/>
      <c r="S248" s="1" t="s">
        <v>230</v>
      </c>
      <c r="T248" s="1" t="s">
        <v>231</v>
      </c>
      <c r="U248" s="41" t="s">
        <v>230</v>
      </c>
    </row>
    <row r="249" spans="1:21" ht="38.4" customHeight="1" x14ac:dyDescent="0.25">
      <c r="A249" s="2">
        <v>656</v>
      </c>
      <c r="B249" s="18" t="s">
        <v>505</v>
      </c>
      <c r="C249" s="75" t="s">
        <v>547</v>
      </c>
      <c r="D249" s="3" t="s">
        <v>837</v>
      </c>
      <c r="E249" s="103"/>
      <c r="F249" s="1" t="s">
        <v>78</v>
      </c>
      <c r="G249" s="1"/>
      <c r="H249" s="1"/>
      <c r="I249" s="1"/>
      <c r="J249" s="57" t="s">
        <v>100</v>
      </c>
      <c r="K249" s="73"/>
      <c r="L249" s="4"/>
      <c r="M249" s="8" t="str">
        <f t="shared" si="12"/>
        <v>PRO</v>
      </c>
      <c r="N249" s="10" t="str">
        <f t="shared" ca="1" si="13"/>
        <v/>
      </c>
      <c r="O249" s="4"/>
      <c r="P249" s="8" t="s">
        <v>38</v>
      </c>
      <c r="Q249" s="16" t="s">
        <v>38</v>
      </c>
      <c r="R249" s="1"/>
      <c r="S249" s="1" t="s">
        <v>230</v>
      </c>
      <c r="T249" s="1" t="s">
        <v>231</v>
      </c>
      <c r="U249" s="41" t="s">
        <v>230</v>
      </c>
    </row>
    <row r="250" spans="1:21" ht="38.4" customHeight="1" x14ac:dyDescent="0.25">
      <c r="A250" s="2">
        <v>341</v>
      </c>
      <c r="B250" s="18" t="s">
        <v>506</v>
      </c>
      <c r="C250" s="75" t="s">
        <v>548</v>
      </c>
      <c r="D250" s="3" t="s">
        <v>838</v>
      </c>
      <c r="E250" s="103"/>
      <c r="F250" s="1" t="s">
        <v>78</v>
      </c>
      <c r="G250" s="1"/>
      <c r="H250" s="1"/>
      <c r="I250" s="1"/>
      <c r="J250" s="57" t="s">
        <v>100</v>
      </c>
      <c r="K250" s="73"/>
      <c r="L250" s="4"/>
      <c r="M250" s="8" t="str">
        <f t="shared" si="12"/>
        <v>PRO</v>
      </c>
      <c r="N250" s="10" t="str">
        <f t="shared" ca="1" si="13"/>
        <v/>
      </c>
      <c r="O250" s="4"/>
      <c r="P250" s="8" t="s">
        <v>38</v>
      </c>
      <c r="Q250" s="16" t="s">
        <v>38</v>
      </c>
      <c r="R250" s="1"/>
      <c r="S250" s="1" t="s">
        <v>230</v>
      </c>
      <c r="T250" s="1" t="s">
        <v>231</v>
      </c>
      <c r="U250" s="41" t="s">
        <v>230</v>
      </c>
    </row>
    <row r="251" spans="1:21" ht="38.4" customHeight="1" x14ac:dyDescent="0.25">
      <c r="A251" s="2">
        <v>340</v>
      </c>
      <c r="B251" s="18" t="s">
        <v>507</v>
      </c>
      <c r="C251" s="75" t="s">
        <v>549</v>
      </c>
      <c r="D251" s="3" t="s">
        <v>838</v>
      </c>
      <c r="E251" s="103"/>
      <c r="F251" s="1" t="s">
        <v>550</v>
      </c>
      <c r="G251" s="1"/>
      <c r="H251" s="1"/>
      <c r="I251" s="1"/>
      <c r="J251" s="57" t="s">
        <v>100</v>
      </c>
      <c r="K251" s="73"/>
      <c r="L251" s="4"/>
      <c r="M251" s="8" t="str">
        <f t="shared" si="12"/>
        <v>PRO</v>
      </c>
      <c r="N251" s="10" t="str">
        <f t="shared" ca="1" si="13"/>
        <v/>
      </c>
      <c r="O251" s="4"/>
      <c r="P251" s="8" t="s">
        <v>38</v>
      </c>
      <c r="Q251" s="16" t="s">
        <v>38</v>
      </c>
      <c r="R251" s="1"/>
      <c r="S251" s="1" t="s">
        <v>230</v>
      </c>
      <c r="T251" s="1" t="s">
        <v>231</v>
      </c>
      <c r="U251" s="41" t="s">
        <v>230</v>
      </c>
    </row>
    <row r="252" spans="1:21" ht="38.4" customHeight="1" x14ac:dyDescent="0.25">
      <c r="A252" s="2">
        <v>338</v>
      </c>
      <c r="B252" s="18" t="s">
        <v>508</v>
      </c>
      <c r="C252" s="75" t="s">
        <v>551</v>
      </c>
      <c r="D252" s="3" t="s">
        <v>837</v>
      </c>
      <c r="E252" s="103"/>
      <c r="F252" s="1" t="s">
        <v>552</v>
      </c>
      <c r="G252" s="1"/>
      <c r="H252" s="1"/>
      <c r="I252" s="1"/>
      <c r="J252" s="57" t="s">
        <v>100</v>
      </c>
      <c r="K252" s="73"/>
      <c r="L252" s="4"/>
      <c r="M252" s="8" t="str">
        <f t="shared" si="12"/>
        <v>PRO</v>
      </c>
      <c r="N252" s="10" t="str">
        <f t="shared" ca="1" si="13"/>
        <v/>
      </c>
      <c r="O252" s="4"/>
      <c r="P252" s="8" t="s">
        <v>130</v>
      </c>
      <c r="Q252" s="16" t="s">
        <v>83</v>
      </c>
      <c r="R252" s="1"/>
      <c r="S252" s="1" t="s">
        <v>230</v>
      </c>
      <c r="T252" s="1" t="s">
        <v>230</v>
      </c>
      <c r="U252" s="41" t="s">
        <v>231</v>
      </c>
    </row>
    <row r="253" spans="1:21" ht="38.4" customHeight="1" x14ac:dyDescent="0.25">
      <c r="A253" s="2">
        <v>333</v>
      </c>
      <c r="B253" s="18" t="s">
        <v>509</v>
      </c>
      <c r="C253" s="75" t="s">
        <v>551</v>
      </c>
      <c r="D253" s="3" t="s">
        <v>837</v>
      </c>
      <c r="E253" s="103"/>
      <c r="F253" s="1" t="s">
        <v>544</v>
      </c>
      <c r="G253" s="1"/>
      <c r="H253" s="1"/>
      <c r="I253" s="1"/>
      <c r="J253" s="57">
        <v>45345</v>
      </c>
      <c r="K253" s="73">
        <v>45716</v>
      </c>
      <c r="L253" s="4">
        <v>12</v>
      </c>
      <c r="M253" s="8" t="str">
        <f t="shared" si="12"/>
        <v>PRO</v>
      </c>
      <c r="N253" s="10" t="str">
        <f t="shared" ca="1" si="13"/>
        <v>SIM</v>
      </c>
      <c r="O253" s="4"/>
      <c r="P253" s="8" t="s">
        <v>130</v>
      </c>
      <c r="Q253" s="16" t="s">
        <v>82</v>
      </c>
      <c r="R253" s="1"/>
      <c r="S253" s="1" t="s">
        <v>231</v>
      </c>
      <c r="T253" s="1" t="s">
        <v>231</v>
      </c>
      <c r="U253" s="41" t="s">
        <v>230</v>
      </c>
    </row>
    <row r="254" spans="1:21" ht="38.4" customHeight="1" x14ac:dyDescent="0.25">
      <c r="A254" s="2">
        <v>332</v>
      </c>
      <c r="B254" s="18" t="s">
        <v>510</v>
      </c>
      <c r="C254" s="75" t="s">
        <v>551</v>
      </c>
      <c r="D254" s="3" t="s">
        <v>837</v>
      </c>
      <c r="E254" s="103"/>
      <c r="F254" s="1" t="s">
        <v>544</v>
      </c>
      <c r="G254" s="1"/>
      <c r="H254" s="1"/>
      <c r="I254" s="1"/>
      <c r="J254" s="57" t="s">
        <v>100</v>
      </c>
      <c r="K254" s="73"/>
      <c r="L254" s="4"/>
      <c r="M254" s="8" t="str">
        <f t="shared" si="12"/>
        <v>PRO</v>
      </c>
      <c r="N254" s="10" t="str">
        <f t="shared" ca="1" si="13"/>
        <v/>
      </c>
      <c r="O254" s="4"/>
      <c r="P254" s="8" t="s">
        <v>38</v>
      </c>
      <c r="Q254" s="16" t="s">
        <v>38</v>
      </c>
      <c r="R254" s="1"/>
      <c r="S254" s="1" t="s">
        <v>230</v>
      </c>
      <c r="T254" s="1" t="s">
        <v>231</v>
      </c>
      <c r="U254" s="41" t="s">
        <v>230</v>
      </c>
    </row>
    <row r="255" spans="1:21" ht="38.4" customHeight="1" x14ac:dyDescent="0.25">
      <c r="A255" s="2">
        <v>331</v>
      </c>
      <c r="B255" s="18" t="s">
        <v>511</v>
      </c>
      <c r="C255" s="75" t="s">
        <v>551</v>
      </c>
      <c r="D255" s="3" t="s">
        <v>837</v>
      </c>
      <c r="E255" s="103"/>
      <c r="F255" s="1" t="s">
        <v>544</v>
      </c>
      <c r="G255" s="1"/>
      <c r="H255" s="1"/>
      <c r="I255" s="1"/>
      <c r="J255" s="57" t="s">
        <v>100</v>
      </c>
      <c r="K255" s="73"/>
      <c r="L255" s="4"/>
      <c r="M255" s="8" t="str">
        <f t="shared" si="12"/>
        <v>PRO</v>
      </c>
      <c r="N255" s="10" t="str">
        <f t="shared" ca="1" si="13"/>
        <v/>
      </c>
      <c r="O255" s="4"/>
      <c r="P255" s="8" t="s">
        <v>130</v>
      </c>
      <c r="Q255" s="16" t="s">
        <v>83</v>
      </c>
      <c r="R255" s="1"/>
      <c r="S255" s="1" t="s">
        <v>230</v>
      </c>
      <c r="T255" s="1" t="s">
        <v>231</v>
      </c>
      <c r="U255" s="41" t="s">
        <v>230</v>
      </c>
    </row>
    <row r="256" spans="1:21" ht="38.4" customHeight="1" x14ac:dyDescent="0.25">
      <c r="A256" s="2">
        <v>330</v>
      </c>
      <c r="B256" s="18" t="s">
        <v>512</v>
      </c>
      <c r="C256" s="75" t="s">
        <v>551</v>
      </c>
      <c r="D256" s="3" t="s">
        <v>837</v>
      </c>
      <c r="E256" s="103"/>
      <c r="F256" s="1" t="s">
        <v>544</v>
      </c>
      <c r="G256" s="1"/>
      <c r="H256" s="1"/>
      <c r="I256" s="1"/>
      <c r="J256" s="57" t="s">
        <v>100</v>
      </c>
      <c r="K256" s="73"/>
      <c r="L256" s="4"/>
      <c r="M256" s="8" t="str">
        <f t="shared" si="12"/>
        <v>PRO</v>
      </c>
      <c r="N256" s="10" t="str">
        <f t="shared" ca="1" si="13"/>
        <v/>
      </c>
      <c r="O256" s="4"/>
      <c r="P256" s="8" t="s">
        <v>38</v>
      </c>
      <c r="Q256" s="16" t="s">
        <v>38</v>
      </c>
      <c r="R256" s="1"/>
      <c r="S256" s="1" t="s">
        <v>230</v>
      </c>
      <c r="T256" s="1" t="s">
        <v>231</v>
      </c>
      <c r="U256" s="41" t="s">
        <v>230</v>
      </c>
    </row>
    <row r="257" spans="1:21" ht="38.4" customHeight="1" x14ac:dyDescent="0.25">
      <c r="A257" s="2">
        <v>329</v>
      </c>
      <c r="B257" s="18" t="s">
        <v>513</v>
      </c>
      <c r="C257" s="75" t="s">
        <v>551</v>
      </c>
      <c r="D257" s="3" t="s">
        <v>837</v>
      </c>
      <c r="E257" s="103"/>
      <c r="F257" s="1" t="s">
        <v>544</v>
      </c>
      <c r="G257" s="1"/>
      <c r="H257" s="1"/>
      <c r="I257" s="1"/>
      <c r="J257" s="57" t="s">
        <v>100</v>
      </c>
      <c r="K257" s="73"/>
      <c r="L257" s="4"/>
      <c r="M257" s="8" t="str">
        <f t="shared" si="12"/>
        <v>PRO</v>
      </c>
      <c r="N257" s="10" t="str">
        <f t="shared" ca="1" si="13"/>
        <v/>
      </c>
      <c r="O257" s="4"/>
      <c r="P257" s="8" t="s">
        <v>38</v>
      </c>
      <c r="Q257" s="16" t="s">
        <v>38</v>
      </c>
      <c r="R257" s="1"/>
      <c r="S257" s="1" t="s">
        <v>230</v>
      </c>
      <c r="T257" s="1" t="s">
        <v>231</v>
      </c>
      <c r="U257" s="41" t="s">
        <v>230</v>
      </c>
    </row>
    <row r="258" spans="1:21" ht="38.4" customHeight="1" x14ac:dyDescent="0.25">
      <c r="A258" s="2">
        <v>326</v>
      </c>
      <c r="B258" s="18" t="s">
        <v>553</v>
      </c>
      <c r="C258" s="75" t="s">
        <v>554</v>
      </c>
      <c r="D258" s="3" t="s">
        <v>837</v>
      </c>
      <c r="E258" s="103"/>
      <c r="F258" s="1" t="s">
        <v>544</v>
      </c>
      <c r="G258" s="1"/>
      <c r="H258" s="1"/>
      <c r="I258" s="1"/>
      <c r="J258" s="57" t="s">
        <v>100</v>
      </c>
      <c r="K258" s="73"/>
      <c r="L258" s="4"/>
      <c r="M258" s="8" t="str">
        <f t="shared" ref="M258:M321" si="14">LEFT(B258,3)</f>
        <v>PRO</v>
      </c>
      <c r="N258" s="10" t="str">
        <f t="shared" ref="N258:N321" ca="1" si="15">IF(K258="","",IF(TODAY()&gt;K258,"SIM","NÃO"))</f>
        <v/>
      </c>
      <c r="O258" s="4"/>
      <c r="P258" s="8" t="s">
        <v>130</v>
      </c>
      <c r="Q258" s="16" t="s">
        <v>83</v>
      </c>
      <c r="R258" s="1"/>
      <c r="S258" s="1" t="s">
        <v>230</v>
      </c>
      <c r="T258" s="1" t="s">
        <v>231</v>
      </c>
      <c r="U258" s="41" t="s">
        <v>230</v>
      </c>
    </row>
    <row r="259" spans="1:21" ht="38.4" customHeight="1" x14ac:dyDescent="0.25">
      <c r="A259" s="2">
        <v>323</v>
      </c>
      <c r="B259" s="18" t="s">
        <v>514</v>
      </c>
      <c r="C259" s="75" t="s">
        <v>551</v>
      </c>
      <c r="D259" s="3" t="s">
        <v>837</v>
      </c>
      <c r="E259" s="103"/>
      <c r="F259" s="1" t="s">
        <v>544</v>
      </c>
      <c r="G259" s="1"/>
      <c r="H259" s="1"/>
      <c r="I259" s="1"/>
      <c r="J259" s="57" t="s">
        <v>100</v>
      </c>
      <c r="K259" s="73"/>
      <c r="L259" s="4"/>
      <c r="M259" s="8" t="str">
        <f t="shared" si="14"/>
        <v>PRO</v>
      </c>
      <c r="N259" s="10" t="str">
        <f t="shared" ca="1" si="15"/>
        <v/>
      </c>
      <c r="O259" s="4"/>
      <c r="P259" s="8" t="s">
        <v>130</v>
      </c>
      <c r="Q259" s="16" t="s">
        <v>82</v>
      </c>
      <c r="R259" s="1"/>
      <c r="S259" s="1" t="s">
        <v>230</v>
      </c>
      <c r="T259" s="1" t="s">
        <v>231</v>
      </c>
      <c r="U259" s="41" t="s">
        <v>230</v>
      </c>
    </row>
    <row r="260" spans="1:21" ht="38.4" customHeight="1" x14ac:dyDescent="0.25">
      <c r="A260" s="2">
        <v>321</v>
      </c>
      <c r="B260" s="18" t="s">
        <v>515</v>
      </c>
      <c r="C260" s="75" t="s">
        <v>551</v>
      </c>
      <c r="D260" s="3" t="s">
        <v>837</v>
      </c>
      <c r="E260" s="103"/>
      <c r="F260" s="1" t="s">
        <v>552</v>
      </c>
      <c r="G260" s="1"/>
      <c r="H260" s="1"/>
      <c r="I260" s="1"/>
      <c r="J260" s="57" t="s">
        <v>100</v>
      </c>
      <c r="K260" s="73"/>
      <c r="L260" s="4"/>
      <c r="M260" s="8" t="str">
        <f t="shared" si="14"/>
        <v>PRO</v>
      </c>
      <c r="N260" s="10" t="str">
        <f t="shared" ca="1" si="15"/>
        <v/>
      </c>
      <c r="O260" s="4"/>
      <c r="P260" s="8" t="s">
        <v>38</v>
      </c>
      <c r="Q260" s="16" t="s">
        <v>38</v>
      </c>
      <c r="R260" s="1"/>
      <c r="S260" s="1" t="s">
        <v>230</v>
      </c>
      <c r="T260" s="1" t="s">
        <v>231</v>
      </c>
      <c r="U260" s="41" t="s">
        <v>230</v>
      </c>
    </row>
    <row r="261" spans="1:21" ht="38.4" customHeight="1" x14ac:dyDescent="0.25">
      <c r="A261" s="2">
        <v>319</v>
      </c>
      <c r="B261" s="18" t="s">
        <v>516</v>
      </c>
      <c r="C261" s="75" t="s">
        <v>551</v>
      </c>
      <c r="D261" s="3" t="s">
        <v>837</v>
      </c>
      <c r="E261" s="103"/>
      <c r="F261" s="1" t="s">
        <v>78</v>
      </c>
      <c r="G261" s="1"/>
      <c r="H261" s="1"/>
      <c r="I261" s="1"/>
      <c r="J261" s="57" t="s">
        <v>100</v>
      </c>
      <c r="K261" s="73"/>
      <c r="L261" s="4"/>
      <c r="M261" s="8" t="str">
        <f t="shared" si="14"/>
        <v>PRO</v>
      </c>
      <c r="N261" s="10" t="str">
        <f t="shared" ca="1" si="15"/>
        <v/>
      </c>
      <c r="O261" s="4"/>
      <c r="P261" s="8" t="s">
        <v>38</v>
      </c>
      <c r="Q261" s="16" t="s">
        <v>38</v>
      </c>
      <c r="R261" s="1"/>
      <c r="S261" s="1" t="s">
        <v>230</v>
      </c>
      <c r="T261" s="1" t="s">
        <v>231</v>
      </c>
      <c r="U261" s="41" t="s">
        <v>230</v>
      </c>
    </row>
    <row r="262" spans="1:21" ht="38.4" customHeight="1" x14ac:dyDescent="0.25">
      <c r="A262" s="2">
        <v>310</v>
      </c>
      <c r="B262" s="18" t="s">
        <v>517</v>
      </c>
      <c r="C262" s="75" t="s">
        <v>551</v>
      </c>
      <c r="D262" s="3" t="s">
        <v>837</v>
      </c>
      <c r="E262" s="103"/>
      <c r="F262" s="1" t="s">
        <v>78</v>
      </c>
      <c r="G262" s="1"/>
      <c r="H262" s="1"/>
      <c r="I262" s="1"/>
      <c r="J262" s="57" t="s">
        <v>100</v>
      </c>
      <c r="K262" s="73"/>
      <c r="L262" s="4"/>
      <c r="M262" s="8" t="str">
        <f t="shared" si="14"/>
        <v>PRO</v>
      </c>
      <c r="N262" s="10" t="str">
        <f t="shared" ca="1" si="15"/>
        <v/>
      </c>
      <c r="O262" s="4"/>
      <c r="P262" s="8" t="s">
        <v>38</v>
      </c>
      <c r="Q262" s="16" t="s">
        <v>38</v>
      </c>
      <c r="R262" s="1"/>
      <c r="S262" s="1" t="s">
        <v>230</v>
      </c>
      <c r="T262" s="1" t="s">
        <v>231</v>
      </c>
      <c r="U262" s="41" t="s">
        <v>230</v>
      </c>
    </row>
    <row r="263" spans="1:21" ht="38.4" customHeight="1" x14ac:dyDescent="0.25">
      <c r="A263" s="2">
        <v>309</v>
      </c>
      <c r="B263" s="18" t="s">
        <v>518</v>
      </c>
      <c r="C263" s="75" t="s">
        <v>551</v>
      </c>
      <c r="D263" s="3" t="s">
        <v>837</v>
      </c>
      <c r="E263" s="103"/>
      <c r="F263" s="1" t="s">
        <v>78</v>
      </c>
      <c r="G263" s="1"/>
      <c r="H263" s="1"/>
      <c r="I263" s="1"/>
      <c r="J263" s="57" t="s">
        <v>100</v>
      </c>
      <c r="K263" s="73"/>
      <c r="L263" s="4"/>
      <c r="M263" s="8" t="str">
        <f t="shared" si="14"/>
        <v>PRO</v>
      </c>
      <c r="N263" s="10" t="str">
        <f t="shared" ca="1" si="15"/>
        <v/>
      </c>
      <c r="O263" s="4"/>
      <c r="P263" s="8" t="s">
        <v>38</v>
      </c>
      <c r="Q263" s="16" t="s">
        <v>38</v>
      </c>
      <c r="R263" s="1"/>
      <c r="S263" s="1" t="s">
        <v>230</v>
      </c>
      <c r="T263" s="1" t="s">
        <v>231</v>
      </c>
      <c r="U263" s="41" t="s">
        <v>230</v>
      </c>
    </row>
    <row r="264" spans="1:21" ht="38.4" customHeight="1" x14ac:dyDescent="0.25">
      <c r="A264" s="2">
        <v>308</v>
      </c>
      <c r="B264" s="18" t="s">
        <v>519</v>
      </c>
      <c r="C264" s="75" t="s">
        <v>551</v>
      </c>
      <c r="D264" s="3" t="s">
        <v>837</v>
      </c>
      <c r="E264" s="103"/>
      <c r="F264" s="1" t="s">
        <v>78</v>
      </c>
      <c r="G264" s="1"/>
      <c r="H264" s="1"/>
      <c r="I264" s="1"/>
      <c r="J264" s="57" t="s">
        <v>100</v>
      </c>
      <c r="K264" s="73"/>
      <c r="L264" s="4"/>
      <c r="M264" s="8" t="str">
        <f t="shared" si="14"/>
        <v>PRO</v>
      </c>
      <c r="N264" s="10" t="str">
        <f t="shared" ca="1" si="15"/>
        <v/>
      </c>
      <c r="O264" s="4"/>
      <c r="P264" s="8" t="s">
        <v>38</v>
      </c>
      <c r="Q264" s="16" t="s">
        <v>38</v>
      </c>
      <c r="R264" s="1"/>
      <c r="S264" s="1" t="s">
        <v>230</v>
      </c>
      <c r="T264" s="1" t="s">
        <v>231</v>
      </c>
      <c r="U264" s="41" t="s">
        <v>230</v>
      </c>
    </row>
    <row r="265" spans="1:21" ht="38.4" customHeight="1" x14ac:dyDescent="0.25">
      <c r="A265" s="2">
        <v>304</v>
      </c>
      <c r="B265" s="18" t="s">
        <v>520</v>
      </c>
      <c r="C265" s="75" t="s">
        <v>549</v>
      </c>
      <c r="D265" s="3" t="s">
        <v>838</v>
      </c>
      <c r="E265" s="103"/>
      <c r="F265" s="1" t="s">
        <v>550</v>
      </c>
      <c r="G265" s="1"/>
      <c r="H265" s="1"/>
      <c r="I265" s="1"/>
      <c r="J265" s="57" t="s">
        <v>100</v>
      </c>
      <c r="K265" s="73"/>
      <c r="L265" s="4"/>
      <c r="M265" s="8" t="str">
        <f t="shared" si="14"/>
        <v>PRO</v>
      </c>
      <c r="N265" s="10" t="str">
        <f t="shared" ca="1" si="15"/>
        <v/>
      </c>
      <c r="O265" s="4"/>
      <c r="P265" s="8" t="s">
        <v>38</v>
      </c>
      <c r="Q265" s="16" t="s">
        <v>38</v>
      </c>
      <c r="R265" s="1"/>
      <c r="S265" s="1" t="s">
        <v>230</v>
      </c>
      <c r="T265" s="1" t="s">
        <v>231</v>
      </c>
      <c r="U265" s="41" t="s">
        <v>230</v>
      </c>
    </row>
    <row r="266" spans="1:21" ht="38.4" customHeight="1" x14ac:dyDescent="0.25">
      <c r="A266" s="2">
        <v>303</v>
      </c>
      <c r="B266" s="18" t="s">
        <v>521</v>
      </c>
      <c r="C266" s="75" t="s">
        <v>549</v>
      </c>
      <c r="D266" s="3" t="s">
        <v>838</v>
      </c>
      <c r="E266" s="103"/>
      <c r="F266" s="1" t="s">
        <v>550</v>
      </c>
      <c r="G266" s="1"/>
      <c r="H266" s="1"/>
      <c r="I266" s="1"/>
      <c r="J266" s="57" t="s">
        <v>100</v>
      </c>
      <c r="K266" s="73"/>
      <c r="L266" s="4"/>
      <c r="M266" s="8" t="str">
        <f t="shared" si="14"/>
        <v>PRO</v>
      </c>
      <c r="N266" s="10" t="str">
        <f t="shared" ca="1" si="15"/>
        <v/>
      </c>
      <c r="O266" s="4"/>
      <c r="P266" s="8" t="s">
        <v>38</v>
      </c>
      <c r="Q266" s="16" t="s">
        <v>38</v>
      </c>
      <c r="R266" s="1"/>
      <c r="S266" s="1" t="s">
        <v>230</v>
      </c>
      <c r="T266" s="1" t="s">
        <v>231</v>
      </c>
      <c r="U266" s="41" t="s">
        <v>230</v>
      </c>
    </row>
    <row r="267" spans="1:21" ht="38.4" customHeight="1" x14ac:dyDescent="0.25">
      <c r="A267" s="2">
        <v>302</v>
      </c>
      <c r="B267" s="18" t="s">
        <v>522</v>
      </c>
      <c r="C267" s="75" t="s">
        <v>555</v>
      </c>
      <c r="D267" s="3" t="s">
        <v>838</v>
      </c>
      <c r="E267" s="103"/>
      <c r="F267" s="1" t="s">
        <v>550</v>
      </c>
      <c r="G267" s="1"/>
      <c r="H267" s="1"/>
      <c r="I267" s="1"/>
      <c r="J267" s="57" t="s">
        <v>100</v>
      </c>
      <c r="K267" s="73"/>
      <c r="L267" s="4"/>
      <c r="M267" s="8" t="str">
        <f t="shared" si="14"/>
        <v>PRO</v>
      </c>
      <c r="N267" s="10" t="str">
        <f t="shared" ca="1" si="15"/>
        <v/>
      </c>
      <c r="O267" s="4"/>
      <c r="P267" s="8" t="s">
        <v>38</v>
      </c>
      <c r="Q267" s="16" t="s">
        <v>38</v>
      </c>
      <c r="R267" s="1"/>
      <c r="S267" s="1" t="s">
        <v>230</v>
      </c>
      <c r="T267" s="1" t="s">
        <v>231</v>
      </c>
      <c r="U267" s="41" t="s">
        <v>230</v>
      </c>
    </row>
    <row r="268" spans="1:21" ht="38.4" customHeight="1" x14ac:dyDescent="0.25">
      <c r="A268" s="2">
        <v>301</v>
      </c>
      <c r="B268" s="18" t="s">
        <v>523</v>
      </c>
      <c r="C268" s="75" t="s">
        <v>547</v>
      </c>
      <c r="D268" s="3" t="s">
        <v>837</v>
      </c>
      <c r="E268" s="103"/>
      <c r="F268" s="1" t="s">
        <v>78</v>
      </c>
      <c r="G268" s="1"/>
      <c r="H268" s="1"/>
      <c r="I268" s="1"/>
      <c r="J268" s="57" t="s">
        <v>100</v>
      </c>
      <c r="K268" s="73"/>
      <c r="L268" s="4"/>
      <c r="M268" s="8" t="str">
        <f t="shared" si="14"/>
        <v>PRO</v>
      </c>
      <c r="N268" s="10" t="str">
        <f t="shared" ca="1" si="15"/>
        <v/>
      </c>
      <c r="O268" s="4"/>
      <c r="P268" s="8" t="s">
        <v>38</v>
      </c>
      <c r="Q268" s="16" t="s">
        <v>38</v>
      </c>
      <c r="R268" s="1"/>
      <c r="S268" s="1" t="s">
        <v>230</v>
      </c>
      <c r="T268" s="1" t="s">
        <v>231</v>
      </c>
      <c r="U268" s="41" t="s">
        <v>230</v>
      </c>
    </row>
    <row r="269" spans="1:21" ht="38.4" customHeight="1" x14ac:dyDescent="0.25">
      <c r="A269" s="2">
        <v>298</v>
      </c>
      <c r="B269" s="18" t="s">
        <v>524</v>
      </c>
      <c r="C269" s="75" t="s">
        <v>547</v>
      </c>
      <c r="D269" s="3" t="s">
        <v>837</v>
      </c>
      <c r="E269" s="103"/>
      <c r="F269" s="1" t="s">
        <v>78</v>
      </c>
      <c r="G269" s="1"/>
      <c r="H269" s="1"/>
      <c r="I269" s="1"/>
      <c r="J269" s="57" t="s">
        <v>100</v>
      </c>
      <c r="K269" s="73"/>
      <c r="L269" s="4"/>
      <c r="M269" s="8" t="str">
        <f t="shared" si="14"/>
        <v>PRO</v>
      </c>
      <c r="N269" s="10" t="str">
        <f t="shared" ca="1" si="15"/>
        <v/>
      </c>
      <c r="O269" s="4"/>
      <c r="P269" s="8" t="s">
        <v>38</v>
      </c>
      <c r="Q269" s="16" t="s">
        <v>38</v>
      </c>
      <c r="R269" s="1"/>
      <c r="S269" s="1" t="s">
        <v>230</v>
      </c>
      <c r="T269" s="1" t="s">
        <v>231</v>
      </c>
      <c r="U269" s="41" t="s">
        <v>230</v>
      </c>
    </row>
    <row r="270" spans="1:21" ht="38.4" customHeight="1" x14ac:dyDescent="0.25">
      <c r="A270" s="2">
        <v>297</v>
      </c>
      <c r="B270" s="18" t="s">
        <v>525</v>
      </c>
      <c r="C270" s="75" t="s">
        <v>547</v>
      </c>
      <c r="D270" s="3" t="s">
        <v>837</v>
      </c>
      <c r="E270" s="103"/>
      <c r="F270" s="1" t="s">
        <v>78</v>
      </c>
      <c r="G270" s="1"/>
      <c r="H270" s="1"/>
      <c r="I270" s="1"/>
      <c r="J270" s="57" t="s">
        <v>100</v>
      </c>
      <c r="K270" s="73"/>
      <c r="L270" s="4"/>
      <c r="M270" s="8" t="str">
        <f t="shared" si="14"/>
        <v>PRO</v>
      </c>
      <c r="N270" s="10" t="str">
        <f t="shared" ca="1" si="15"/>
        <v/>
      </c>
      <c r="O270" s="4"/>
      <c r="P270" s="8" t="s">
        <v>38</v>
      </c>
      <c r="Q270" s="16" t="s">
        <v>38</v>
      </c>
      <c r="R270" s="1"/>
      <c r="S270" s="1" t="s">
        <v>230</v>
      </c>
      <c r="T270" s="1" t="s">
        <v>231</v>
      </c>
      <c r="U270" s="41" t="s">
        <v>230</v>
      </c>
    </row>
    <row r="271" spans="1:21" ht="38.4" customHeight="1" x14ac:dyDescent="0.25">
      <c r="A271" s="2">
        <v>1103</v>
      </c>
      <c r="B271" s="18" t="s">
        <v>556</v>
      </c>
      <c r="C271" s="66"/>
      <c r="D271" s="3"/>
      <c r="E271" s="103"/>
      <c r="F271" s="1"/>
      <c r="G271" s="1"/>
      <c r="H271" s="1"/>
      <c r="I271" s="1"/>
      <c r="J271" s="57" t="s">
        <v>100</v>
      </c>
      <c r="K271" s="73"/>
      <c r="L271" s="4"/>
      <c r="M271" s="8" t="str">
        <f t="shared" si="14"/>
        <v>PRO</v>
      </c>
      <c r="N271" s="10" t="str">
        <f t="shared" ca="1" si="15"/>
        <v/>
      </c>
      <c r="O271" s="4"/>
      <c r="P271" s="8" t="s">
        <v>130</v>
      </c>
      <c r="Q271" s="16" t="s">
        <v>83</v>
      </c>
      <c r="R271" s="1"/>
      <c r="S271" s="1" t="s">
        <v>230</v>
      </c>
      <c r="T271" s="1" t="s">
        <v>230</v>
      </c>
      <c r="U271" s="41" t="s">
        <v>231</v>
      </c>
    </row>
    <row r="272" spans="1:21" ht="38.4" customHeight="1" x14ac:dyDescent="0.25">
      <c r="A272" s="2">
        <v>802</v>
      </c>
      <c r="B272" s="18" t="s">
        <v>557</v>
      </c>
      <c r="C272" s="66"/>
      <c r="D272" s="3"/>
      <c r="E272" s="103"/>
      <c r="F272" s="1"/>
      <c r="G272" s="1"/>
      <c r="H272" s="1"/>
      <c r="I272" s="1"/>
      <c r="J272" s="57" t="s">
        <v>100</v>
      </c>
      <c r="K272" s="73"/>
      <c r="L272" s="4"/>
      <c r="M272" s="8" t="str">
        <f t="shared" si="14"/>
        <v>PRO</v>
      </c>
      <c r="N272" s="10" t="str">
        <f t="shared" ca="1" si="15"/>
        <v/>
      </c>
      <c r="O272" s="4"/>
      <c r="P272" s="8" t="s">
        <v>38</v>
      </c>
      <c r="Q272" s="16" t="s">
        <v>38</v>
      </c>
      <c r="R272" s="1"/>
      <c r="S272" s="1" t="s">
        <v>230</v>
      </c>
      <c r="T272" s="1" t="s">
        <v>230</v>
      </c>
      <c r="U272" s="41" t="s">
        <v>231</v>
      </c>
    </row>
    <row r="273" spans="1:21" ht="38.4" customHeight="1" x14ac:dyDescent="0.25">
      <c r="A273" s="2">
        <v>336</v>
      </c>
      <c r="B273" s="18" t="s">
        <v>558</v>
      </c>
      <c r="C273" s="66"/>
      <c r="D273" s="3"/>
      <c r="E273" s="103"/>
      <c r="F273" s="1"/>
      <c r="G273" s="1"/>
      <c r="H273" s="1"/>
      <c r="I273" s="1"/>
      <c r="J273" s="57" t="s">
        <v>100</v>
      </c>
      <c r="K273" s="73"/>
      <c r="L273" s="4"/>
      <c r="M273" s="8" t="str">
        <f t="shared" si="14"/>
        <v>PRO</v>
      </c>
      <c r="N273" s="10" t="str">
        <f t="shared" ca="1" si="15"/>
        <v/>
      </c>
      <c r="O273" s="4"/>
      <c r="P273" s="8" t="s">
        <v>38</v>
      </c>
      <c r="Q273" s="16" t="s">
        <v>38</v>
      </c>
      <c r="R273" s="1"/>
      <c r="S273" s="1" t="s">
        <v>230</v>
      </c>
      <c r="T273" s="1" t="s">
        <v>230</v>
      </c>
      <c r="U273" s="41" t="s">
        <v>231</v>
      </c>
    </row>
    <row r="274" spans="1:21" ht="38.4" customHeight="1" x14ac:dyDescent="0.25">
      <c r="A274" s="2">
        <v>1116</v>
      </c>
      <c r="B274" s="18" t="s">
        <v>559</v>
      </c>
      <c r="C274" s="66"/>
      <c r="D274" s="3"/>
      <c r="E274" s="103"/>
      <c r="F274" s="1"/>
      <c r="G274" s="1"/>
      <c r="H274" s="1"/>
      <c r="I274" s="1"/>
      <c r="J274" s="57" t="s">
        <v>100</v>
      </c>
      <c r="K274" s="73"/>
      <c r="L274" s="4"/>
      <c r="M274" s="8" t="str">
        <f t="shared" si="14"/>
        <v>PRO</v>
      </c>
      <c r="N274" s="10" t="str">
        <f t="shared" ca="1" si="15"/>
        <v/>
      </c>
      <c r="O274" s="4"/>
      <c r="P274" s="8" t="s">
        <v>130</v>
      </c>
      <c r="Q274" s="16" t="s">
        <v>83</v>
      </c>
      <c r="R274" s="1"/>
      <c r="S274" s="1" t="s">
        <v>230</v>
      </c>
      <c r="T274" s="1" t="s">
        <v>230</v>
      </c>
      <c r="U274" s="41" t="s">
        <v>231</v>
      </c>
    </row>
    <row r="275" spans="1:21" ht="38.4" customHeight="1" x14ac:dyDescent="0.25">
      <c r="A275" s="2">
        <v>334</v>
      </c>
      <c r="B275" s="18" t="s">
        <v>560</v>
      </c>
      <c r="C275" s="66"/>
      <c r="D275" s="3"/>
      <c r="E275" s="103"/>
      <c r="F275" s="1"/>
      <c r="G275" s="1"/>
      <c r="H275" s="1"/>
      <c r="I275" s="1"/>
      <c r="J275" s="57" t="s">
        <v>100</v>
      </c>
      <c r="K275" s="73"/>
      <c r="L275" s="4"/>
      <c r="M275" s="8" t="str">
        <f t="shared" si="14"/>
        <v>PRO</v>
      </c>
      <c r="N275" s="10" t="str">
        <f t="shared" ca="1" si="15"/>
        <v/>
      </c>
      <c r="O275" s="4"/>
      <c r="P275" s="8" t="s">
        <v>38</v>
      </c>
      <c r="Q275" s="16" t="s">
        <v>38</v>
      </c>
      <c r="R275" s="1"/>
      <c r="S275" s="1" t="s">
        <v>230</v>
      </c>
      <c r="T275" s="1" t="s">
        <v>230</v>
      </c>
      <c r="U275" s="41" t="s">
        <v>231</v>
      </c>
    </row>
    <row r="276" spans="1:21" ht="38.4" customHeight="1" x14ac:dyDescent="0.25">
      <c r="A276" s="2">
        <v>935</v>
      </c>
      <c r="B276" s="18" t="s">
        <v>561</v>
      </c>
      <c r="C276" s="66"/>
      <c r="D276" s="3"/>
      <c r="E276" s="103"/>
      <c r="F276" s="1"/>
      <c r="G276" s="1"/>
      <c r="H276" s="1"/>
      <c r="I276" s="1"/>
      <c r="J276" s="57" t="s">
        <v>100</v>
      </c>
      <c r="K276" s="73"/>
      <c r="L276" s="4"/>
      <c r="M276" s="8" t="str">
        <f t="shared" si="14"/>
        <v>PRO</v>
      </c>
      <c r="N276" s="10" t="str">
        <f t="shared" ca="1" si="15"/>
        <v/>
      </c>
      <c r="O276" s="4"/>
      <c r="P276" s="8" t="s">
        <v>38</v>
      </c>
      <c r="Q276" s="16" t="s">
        <v>38</v>
      </c>
      <c r="R276" s="1"/>
      <c r="S276" s="1" t="s">
        <v>230</v>
      </c>
      <c r="T276" s="1" t="s">
        <v>230</v>
      </c>
      <c r="U276" s="41" t="s">
        <v>231</v>
      </c>
    </row>
    <row r="277" spans="1:21" ht="38.4" customHeight="1" x14ac:dyDescent="0.25">
      <c r="A277" s="2">
        <v>707</v>
      </c>
      <c r="B277" s="18" t="s">
        <v>562</v>
      </c>
      <c r="C277" s="66"/>
      <c r="D277" s="3"/>
      <c r="E277" s="103"/>
      <c r="F277" s="1"/>
      <c r="G277" s="1"/>
      <c r="H277" s="1"/>
      <c r="I277" s="1"/>
      <c r="J277" s="57" t="s">
        <v>100</v>
      </c>
      <c r="K277" s="73"/>
      <c r="L277" s="4"/>
      <c r="M277" s="8" t="str">
        <f t="shared" si="14"/>
        <v>PRO</v>
      </c>
      <c r="N277" s="10" t="str">
        <f t="shared" ca="1" si="15"/>
        <v/>
      </c>
      <c r="O277" s="4"/>
      <c r="P277" s="8" t="s">
        <v>38</v>
      </c>
      <c r="Q277" s="16" t="s">
        <v>38</v>
      </c>
      <c r="R277" s="1"/>
      <c r="S277" s="1" t="s">
        <v>230</v>
      </c>
      <c r="T277" s="1" t="s">
        <v>230</v>
      </c>
      <c r="U277" s="41" t="s">
        <v>231</v>
      </c>
    </row>
    <row r="278" spans="1:21" ht="38.4" customHeight="1" x14ac:dyDescent="0.25">
      <c r="A278" s="2">
        <v>1107</v>
      </c>
      <c r="B278" s="18" t="s">
        <v>563</v>
      </c>
      <c r="C278" s="66"/>
      <c r="D278" s="3"/>
      <c r="E278" s="103"/>
      <c r="F278" s="1"/>
      <c r="G278" s="1"/>
      <c r="H278" s="1"/>
      <c r="I278" s="1"/>
      <c r="J278" s="57">
        <v>45345</v>
      </c>
      <c r="K278" s="73">
        <v>45716</v>
      </c>
      <c r="L278" s="4"/>
      <c r="M278" s="8" t="str">
        <f t="shared" si="14"/>
        <v>PRO</v>
      </c>
      <c r="N278" s="10" t="str">
        <f t="shared" ca="1" si="15"/>
        <v>SIM</v>
      </c>
      <c r="O278" s="4"/>
      <c r="P278" s="8" t="s">
        <v>38</v>
      </c>
      <c r="Q278" s="16" t="s">
        <v>38</v>
      </c>
      <c r="R278" s="1"/>
      <c r="S278" s="1" t="s">
        <v>231</v>
      </c>
      <c r="T278" s="1" t="s">
        <v>230</v>
      </c>
      <c r="U278" s="41" t="s">
        <v>231</v>
      </c>
    </row>
    <row r="279" spans="1:21" ht="38.4" customHeight="1" x14ac:dyDescent="0.25">
      <c r="A279" s="2">
        <v>1374</v>
      </c>
      <c r="B279" s="18" t="s">
        <v>564</v>
      </c>
      <c r="C279" s="66"/>
      <c r="D279" s="3"/>
      <c r="E279" s="103"/>
      <c r="F279" s="1"/>
      <c r="G279" s="1"/>
      <c r="H279" s="1"/>
      <c r="I279" s="1"/>
      <c r="J279" s="57" t="s">
        <v>100</v>
      </c>
      <c r="K279" s="73"/>
      <c r="L279" s="4"/>
      <c r="M279" s="8" t="str">
        <f t="shared" si="14"/>
        <v>PRO</v>
      </c>
      <c r="N279" s="10" t="str">
        <f t="shared" ca="1" si="15"/>
        <v/>
      </c>
      <c r="O279" s="4"/>
      <c r="P279" s="8" t="s">
        <v>38</v>
      </c>
      <c r="Q279" s="16" t="s">
        <v>38</v>
      </c>
      <c r="R279" s="1"/>
      <c r="S279" s="1" t="s">
        <v>230</v>
      </c>
      <c r="T279" s="1" t="s">
        <v>230</v>
      </c>
      <c r="U279" s="41" t="s">
        <v>231</v>
      </c>
    </row>
    <row r="280" spans="1:21" ht="38.4" customHeight="1" x14ac:dyDescent="0.25">
      <c r="A280" s="2">
        <v>934</v>
      </c>
      <c r="B280" s="18" t="s">
        <v>565</v>
      </c>
      <c r="C280" s="66"/>
      <c r="D280" s="3"/>
      <c r="E280" s="103"/>
      <c r="F280" s="1"/>
      <c r="G280" s="1"/>
      <c r="H280" s="1"/>
      <c r="I280" s="1"/>
      <c r="J280" s="57" t="s">
        <v>100</v>
      </c>
      <c r="K280" s="73"/>
      <c r="L280" s="4"/>
      <c r="M280" s="8" t="str">
        <f t="shared" si="14"/>
        <v>PRO</v>
      </c>
      <c r="N280" s="10" t="str">
        <f t="shared" ca="1" si="15"/>
        <v/>
      </c>
      <c r="O280" s="4"/>
      <c r="P280" s="8" t="s">
        <v>38</v>
      </c>
      <c r="Q280" s="16" t="s">
        <v>38</v>
      </c>
      <c r="R280" s="1"/>
      <c r="S280" s="1" t="s">
        <v>230</v>
      </c>
      <c r="T280" s="1" t="s">
        <v>230</v>
      </c>
      <c r="U280" s="41" t="s">
        <v>231</v>
      </c>
    </row>
    <row r="281" spans="1:21" ht="38.4" customHeight="1" x14ac:dyDescent="0.25">
      <c r="A281" s="2">
        <v>717</v>
      </c>
      <c r="B281" s="18" t="s">
        <v>566</v>
      </c>
      <c r="C281" s="66"/>
      <c r="D281" s="3"/>
      <c r="E281" s="103"/>
      <c r="F281" s="1"/>
      <c r="G281" s="1"/>
      <c r="H281" s="1"/>
      <c r="I281" s="1"/>
      <c r="J281" s="57" t="s">
        <v>100</v>
      </c>
      <c r="K281" s="73"/>
      <c r="L281" s="4"/>
      <c r="M281" s="8" t="str">
        <f t="shared" si="14"/>
        <v>PRO</v>
      </c>
      <c r="N281" s="10" t="str">
        <f t="shared" ca="1" si="15"/>
        <v/>
      </c>
      <c r="O281" s="4"/>
      <c r="P281" s="8" t="s">
        <v>130</v>
      </c>
      <c r="Q281" s="16" t="s">
        <v>82</v>
      </c>
      <c r="R281" s="1"/>
      <c r="S281" s="1" t="s">
        <v>230</v>
      </c>
      <c r="T281" s="1" t="s">
        <v>230</v>
      </c>
      <c r="U281" s="41" t="s">
        <v>231</v>
      </c>
    </row>
    <row r="282" spans="1:21" ht="38.4" customHeight="1" x14ac:dyDescent="0.25">
      <c r="A282" s="2">
        <v>335</v>
      </c>
      <c r="B282" s="18" t="s">
        <v>567</v>
      </c>
      <c r="C282" s="66"/>
      <c r="D282" s="3"/>
      <c r="E282" s="103"/>
      <c r="F282" s="1"/>
      <c r="G282" s="1"/>
      <c r="H282" s="1"/>
      <c r="I282" s="1"/>
      <c r="J282" s="57" t="s">
        <v>100</v>
      </c>
      <c r="K282" s="73"/>
      <c r="L282" s="4"/>
      <c r="M282" s="8" t="str">
        <f t="shared" si="14"/>
        <v>PRO</v>
      </c>
      <c r="N282" s="10" t="str">
        <f t="shared" ca="1" si="15"/>
        <v/>
      </c>
      <c r="O282" s="4"/>
      <c r="P282" s="8" t="s">
        <v>38</v>
      </c>
      <c r="Q282" s="16" t="s">
        <v>38</v>
      </c>
      <c r="R282" s="1"/>
      <c r="S282" s="1" t="s">
        <v>230</v>
      </c>
      <c r="T282" s="1" t="s">
        <v>230</v>
      </c>
      <c r="U282" s="41" t="s">
        <v>231</v>
      </c>
    </row>
    <row r="283" spans="1:21" ht="38.4" customHeight="1" x14ac:dyDescent="0.25">
      <c r="A283" s="2">
        <v>1115</v>
      </c>
      <c r="B283" s="18" t="s">
        <v>568</v>
      </c>
      <c r="C283" s="66"/>
      <c r="D283" s="3"/>
      <c r="E283" s="103"/>
      <c r="F283" s="1"/>
      <c r="G283" s="1"/>
      <c r="H283" s="1"/>
      <c r="I283" s="1"/>
      <c r="J283" s="57" t="s">
        <v>100</v>
      </c>
      <c r="K283" s="73"/>
      <c r="L283" s="4"/>
      <c r="M283" s="8" t="str">
        <f t="shared" si="14"/>
        <v>PRO</v>
      </c>
      <c r="N283" s="10" t="str">
        <f t="shared" ca="1" si="15"/>
        <v/>
      </c>
      <c r="O283" s="4"/>
      <c r="P283" s="8" t="s">
        <v>38</v>
      </c>
      <c r="Q283" s="16" t="s">
        <v>38</v>
      </c>
      <c r="R283" s="1"/>
      <c r="S283" s="1" t="s">
        <v>230</v>
      </c>
      <c r="T283" s="1" t="s">
        <v>230</v>
      </c>
      <c r="U283" s="41" t="s">
        <v>231</v>
      </c>
    </row>
    <row r="284" spans="1:21" ht="38.4" customHeight="1" x14ac:dyDescent="0.25">
      <c r="A284" s="2">
        <v>805</v>
      </c>
      <c r="B284" s="18" t="s">
        <v>569</v>
      </c>
      <c r="C284" s="66"/>
      <c r="D284" s="3"/>
      <c r="E284" s="103"/>
      <c r="F284" s="1"/>
      <c r="G284" s="1"/>
      <c r="H284" s="1"/>
      <c r="I284" s="1"/>
      <c r="J284" s="57" t="s">
        <v>100</v>
      </c>
      <c r="K284" s="73"/>
      <c r="L284" s="4"/>
      <c r="M284" s="8" t="str">
        <f t="shared" si="14"/>
        <v>PRO</v>
      </c>
      <c r="N284" s="10" t="str">
        <f t="shared" ca="1" si="15"/>
        <v/>
      </c>
      <c r="O284" s="4"/>
      <c r="P284" s="8" t="s">
        <v>38</v>
      </c>
      <c r="Q284" s="16" t="s">
        <v>38</v>
      </c>
      <c r="R284" s="1"/>
      <c r="S284" s="1" t="s">
        <v>230</v>
      </c>
      <c r="T284" s="1" t="s">
        <v>230</v>
      </c>
      <c r="U284" s="41" t="s">
        <v>231</v>
      </c>
    </row>
    <row r="285" spans="1:21" ht="38.4" customHeight="1" x14ac:dyDescent="0.3">
      <c r="A285" s="76">
        <v>337</v>
      </c>
      <c r="B285" s="18" t="s">
        <v>570</v>
      </c>
      <c r="J285" s="57" t="s">
        <v>100</v>
      </c>
      <c r="M285" s="8" t="str">
        <f t="shared" si="14"/>
        <v>PRO</v>
      </c>
      <c r="N285" s="10" t="str">
        <f t="shared" ca="1" si="15"/>
        <v/>
      </c>
      <c r="P285" s="8" t="s">
        <v>38</v>
      </c>
      <c r="Q285" s="16" t="s">
        <v>38</v>
      </c>
      <c r="S285" s="1" t="s">
        <v>230</v>
      </c>
      <c r="T285" s="1" t="s">
        <v>230</v>
      </c>
      <c r="U285" s="41" t="s">
        <v>231</v>
      </c>
    </row>
    <row r="286" spans="1:21" ht="38.4" customHeight="1" x14ac:dyDescent="0.3">
      <c r="A286" s="76">
        <v>327</v>
      </c>
      <c r="B286" s="18" t="s">
        <v>590</v>
      </c>
      <c r="J286" s="57" t="s">
        <v>100</v>
      </c>
      <c r="M286" s="8" t="str">
        <f t="shared" si="14"/>
        <v>PRO</v>
      </c>
      <c r="N286" s="10" t="str">
        <f t="shared" ca="1" si="15"/>
        <v/>
      </c>
      <c r="P286" s="8" t="s">
        <v>38</v>
      </c>
      <c r="Q286" s="16" t="s">
        <v>38</v>
      </c>
      <c r="S286" s="1" t="s">
        <v>230</v>
      </c>
      <c r="T286" s="1" t="s">
        <v>230</v>
      </c>
      <c r="U286" s="41" t="s">
        <v>231</v>
      </c>
    </row>
    <row r="287" spans="1:21" ht="38.4" customHeight="1" x14ac:dyDescent="0.3">
      <c r="A287" s="76">
        <v>770</v>
      </c>
      <c r="B287" s="18" t="s">
        <v>591</v>
      </c>
      <c r="J287" s="57" t="s">
        <v>100</v>
      </c>
      <c r="M287" s="8" t="str">
        <f t="shared" si="14"/>
        <v>PRO</v>
      </c>
      <c r="N287" s="10" t="str">
        <f t="shared" ca="1" si="15"/>
        <v/>
      </c>
      <c r="P287" s="8" t="s">
        <v>38</v>
      </c>
      <c r="Q287" s="16" t="s">
        <v>38</v>
      </c>
      <c r="S287" s="1" t="s">
        <v>230</v>
      </c>
      <c r="T287" s="1" t="s">
        <v>230</v>
      </c>
      <c r="U287" s="41" t="s">
        <v>231</v>
      </c>
    </row>
    <row r="288" spans="1:21" ht="38.4" customHeight="1" x14ac:dyDescent="0.3">
      <c r="A288" s="76">
        <v>933</v>
      </c>
      <c r="B288" s="18" t="s">
        <v>572</v>
      </c>
      <c r="J288" s="57" t="s">
        <v>100</v>
      </c>
      <c r="M288" s="8" t="str">
        <f t="shared" si="14"/>
        <v>PRO</v>
      </c>
      <c r="N288" s="10" t="str">
        <f t="shared" ca="1" si="15"/>
        <v/>
      </c>
      <c r="P288" s="8" t="s">
        <v>38</v>
      </c>
      <c r="Q288" s="16" t="s">
        <v>38</v>
      </c>
      <c r="S288" s="1" t="s">
        <v>230</v>
      </c>
      <c r="T288" s="1" t="s">
        <v>230</v>
      </c>
      <c r="U288" s="41" t="s">
        <v>231</v>
      </c>
    </row>
    <row r="289" spans="1:21" ht="38.4" customHeight="1" x14ac:dyDescent="0.3">
      <c r="A289" s="76">
        <v>306</v>
      </c>
      <c r="B289" s="18" t="s">
        <v>592</v>
      </c>
      <c r="J289" s="57" t="s">
        <v>100</v>
      </c>
      <c r="M289" s="8" t="str">
        <f t="shared" si="14"/>
        <v>PRO</v>
      </c>
      <c r="N289" s="10" t="str">
        <f t="shared" ca="1" si="15"/>
        <v/>
      </c>
      <c r="P289" s="8" t="s">
        <v>38</v>
      </c>
      <c r="Q289" s="16" t="s">
        <v>38</v>
      </c>
      <c r="S289" s="1" t="s">
        <v>230</v>
      </c>
      <c r="T289" s="1" t="s">
        <v>230</v>
      </c>
      <c r="U289" s="41" t="s">
        <v>231</v>
      </c>
    </row>
    <row r="290" spans="1:21" ht="38.4" customHeight="1" x14ac:dyDescent="0.3">
      <c r="A290" s="76">
        <v>1105</v>
      </c>
      <c r="B290" s="18" t="s">
        <v>574</v>
      </c>
      <c r="J290" s="57" t="s">
        <v>100</v>
      </c>
      <c r="M290" s="8" t="str">
        <f t="shared" si="14"/>
        <v>PRO</v>
      </c>
      <c r="N290" s="10" t="str">
        <f t="shared" ca="1" si="15"/>
        <v/>
      </c>
      <c r="P290" s="8" t="s">
        <v>38</v>
      </c>
      <c r="Q290" s="16" t="s">
        <v>38</v>
      </c>
      <c r="S290" s="1" t="s">
        <v>230</v>
      </c>
      <c r="T290" s="1" t="s">
        <v>230</v>
      </c>
      <c r="U290" s="41" t="s">
        <v>231</v>
      </c>
    </row>
    <row r="291" spans="1:21" ht="38.4" customHeight="1" x14ac:dyDescent="0.3">
      <c r="A291" s="76">
        <v>938</v>
      </c>
      <c r="B291" s="18" t="s">
        <v>573</v>
      </c>
      <c r="J291" s="57" t="s">
        <v>100</v>
      </c>
      <c r="M291" s="8" t="str">
        <f t="shared" si="14"/>
        <v>PRO</v>
      </c>
      <c r="N291" s="10" t="str">
        <f t="shared" ca="1" si="15"/>
        <v/>
      </c>
      <c r="P291" s="8" t="s">
        <v>38</v>
      </c>
      <c r="Q291" s="16" t="s">
        <v>38</v>
      </c>
      <c r="S291" s="1" t="s">
        <v>230</v>
      </c>
      <c r="T291" s="1" t="s">
        <v>230</v>
      </c>
      <c r="U291" s="41" t="s">
        <v>231</v>
      </c>
    </row>
    <row r="292" spans="1:21" ht="38.4" customHeight="1" x14ac:dyDescent="0.3">
      <c r="A292" s="76">
        <v>799</v>
      </c>
      <c r="B292" s="18" t="s">
        <v>593</v>
      </c>
      <c r="J292" s="57" t="s">
        <v>100</v>
      </c>
      <c r="M292" s="8" t="str">
        <f t="shared" si="14"/>
        <v>PRO</v>
      </c>
      <c r="N292" s="10" t="str">
        <f t="shared" ca="1" si="15"/>
        <v/>
      </c>
      <c r="P292" s="8" t="s">
        <v>38</v>
      </c>
      <c r="Q292" s="16" t="s">
        <v>38</v>
      </c>
      <c r="S292" s="1" t="s">
        <v>230</v>
      </c>
      <c r="T292" s="1" t="s">
        <v>230</v>
      </c>
      <c r="U292" s="41" t="s">
        <v>231</v>
      </c>
    </row>
    <row r="293" spans="1:21" ht="38.4" customHeight="1" x14ac:dyDescent="0.3">
      <c r="A293" s="76">
        <v>317</v>
      </c>
      <c r="B293" s="18" t="s">
        <v>594</v>
      </c>
      <c r="J293" s="57" t="s">
        <v>100</v>
      </c>
      <c r="M293" s="8" t="str">
        <f t="shared" si="14"/>
        <v>PRO</v>
      </c>
      <c r="N293" s="10" t="str">
        <f t="shared" ca="1" si="15"/>
        <v/>
      </c>
      <c r="P293" s="8" t="s">
        <v>38</v>
      </c>
      <c r="Q293" s="16" t="s">
        <v>38</v>
      </c>
      <c r="S293" s="1" t="s">
        <v>230</v>
      </c>
      <c r="T293" s="1" t="s">
        <v>230</v>
      </c>
      <c r="U293" s="41" t="s">
        <v>231</v>
      </c>
    </row>
    <row r="294" spans="1:21" ht="38.4" customHeight="1" x14ac:dyDescent="0.3">
      <c r="A294" s="76">
        <v>708</v>
      </c>
      <c r="B294" s="18" t="s">
        <v>595</v>
      </c>
      <c r="J294" s="57" t="s">
        <v>100</v>
      </c>
      <c r="M294" s="8" t="str">
        <f t="shared" si="14"/>
        <v>PRO</v>
      </c>
      <c r="N294" s="10" t="str">
        <f t="shared" ca="1" si="15"/>
        <v/>
      </c>
      <c r="P294" s="8" t="s">
        <v>38</v>
      </c>
      <c r="Q294" s="16" t="s">
        <v>38</v>
      </c>
      <c r="S294" s="1" t="s">
        <v>230</v>
      </c>
      <c r="T294" s="1" t="s">
        <v>230</v>
      </c>
      <c r="U294" s="41" t="s">
        <v>231</v>
      </c>
    </row>
    <row r="295" spans="1:21" ht="38.4" customHeight="1" x14ac:dyDescent="0.3">
      <c r="A295" s="76">
        <v>318</v>
      </c>
      <c r="B295" s="18" t="s">
        <v>596</v>
      </c>
      <c r="J295" s="57" t="s">
        <v>100</v>
      </c>
      <c r="M295" s="8" t="str">
        <f t="shared" si="14"/>
        <v>PRO</v>
      </c>
      <c r="N295" s="10" t="str">
        <f t="shared" ca="1" si="15"/>
        <v/>
      </c>
      <c r="P295" s="8" t="s">
        <v>38</v>
      </c>
      <c r="Q295" s="16" t="s">
        <v>38</v>
      </c>
      <c r="S295" s="1" t="s">
        <v>230</v>
      </c>
      <c r="T295" s="1" t="s">
        <v>230</v>
      </c>
      <c r="U295" s="41" t="s">
        <v>231</v>
      </c>
    </row>
    <row r="296" spans="1:21" ht="38.4" customHeight="1" x14ac:dyDescent="0.3">
      <c r="A296" s="76">
        <v>313</v>
      </c>
      <c r="B296" s="18" t="s">
        <v>597</v>
      </c>
      <c r="J296" s="57" t="s">
        <v>100</v>
      </c>
      <c r="M296" s="8" t="str">
        <f t="shared" si="14"/>
        <v>PRO</v>
      </c>
      <c r="N296" s="10" t="str">
        <f t="shared" ca="1" si="15"/>
        <v/>
      </c>
      <c r="P296" s="8" t="s">
        <v>38</v>
      </c>
      <c r="Q296" s="16" t="s">
        <v>38</v>
      </c>
      <c r="S296" s="1" t="s">
        <v>230</v>
      </c>
      <c r="T296" s="1" t="s">
        <v>230</v>
      </c>
      <c r="U296" s="41" t="s">
        <v>231</v>
      </c>
    </row>
    <row r="297" spans="1:21" ht="38.4" customHeight="1" x14ac:dyDescent="0.3">
      <c r="A297" s="76">
        <v>315</v>
      </c>
      <c r="B297" s="18" t="s">
        <v>598</v>
      </c>
      <c r="J297" s="57" t="s">
        <v>100</v>
      </c>
      <c r="M297" s="8" t="str">
        <f t="shared" si="14"/>
        <v>PRO</v>
      </c>
      <c r="N297" s="10" t="str">
        <f t="shared" ca="1" si="15"/>
        <v/>
      </c>
      <c r="P297" s="8" t="s">
        <v>38</v>
      </c>
      <c r="Q297" s="16" t="s">
        <v>38</v>
      </c>
      <c r="S297" s="1" t="s">
        <v>230</v>
      </c>
      <c r="T297" s="1" t="s">
        <v>230</v>
      </c>
      <c r="U297" s="41" t="s">
        <v>231</v>
      </c>
    </row>
    <row r="298" spans="1:21" ht="38.4" customHeight="1" x14ac:dyDescent="0.3">
      <c r="A298" s="76">
        <v>722</v>
      </c>
      <c r="B298" s="18" t="s">
        <v>599</v>
      </c>
      <c r="J298" s="57" t="s">
        <v>100</v>
      </c>
      <c r="M298" s="8" t="str">
        <f t="shared" si="14"/>
        <v>PRO</v>
      </c>
      <c r="N298" s="10" t="str">
        <f t="shared" ca="1" si="15"/>
        <v/>
      </c>
      <c r="P298" s="8" t="s">
        <v>38</v>
      </c>
      <c r="Q298" s="16" t="s">
        <v>38</v>
      </c>
      <c r="S298" s="1" t="s">
        <v>230</v>
      </c>
      <c r="T298" s="1" t="s">
        <v>230</v>
      </c>
      <c r="U298" s="41" t="s">
        <v>231</v>
      </c>
    </row>
    <row r="299" spans="1:21" ht="38.4" customHeight="1" x14ac:dyDescent="0.3">
      <c r="A299" s="76">
        <v>704</v>
      </c>
      <c r="B299" s="18" t="s">
        <v>600</v>
      </c>
      <c r="J299" s="57" t="s">
        <v>100</v>
      </c>
      <c r="M299" s="8" t="str">
        <f t="shared" si="14"/>
        <v>PRO</v>
      </c>
      <c r="N299" s="10" t="str">
        <f t="shared" ca="1" si="15"/>
        <v/>
      </c>
      <c r="P299" s="8" t="s">
        <v>38</v>
      </c>
      <c r="Q299" s="16" t="s">
        <v>38</v>
      </c>
      <c r="S299" s="1" t="s">
        <v>230</v>
      </c>
      <c r="T299" s="1" t="s">
        <v>230</v>
      </c>
      <c r="U299" s="41" t="s">
        <v>231</v>
      </c>
    </row>
    <row r="300" spans="1:21" ht="38.4" customHeight="1" x14ac:dyDescent="0.3">
      <c r="A300" s="76">
        <v>312</v>
      </c>
      <c r="B300" s="18" t="s">
        <v>601</v>
      </c>
      <c r="J300" s="57" t="s">
        <v>100</v>
      </c>
      <c r="M300" s="8" t="str">
        <f t="shared" si="14"/>
        <v>PRO</v>
      </c>
      <c r="N300" s="10" t="str">
        <f t="shared" ca="1" si="15"/>
        <v/>
      </c>
      <c r="P300" s="8" t="s">
        <v>38</v>
      </c>
      <c r="Q300" s="16" t="s">
        <v>38</v>
      </c>
      <c r="S300" s="1" t="s">
        <v>230</v>
      </c>
      <c r="T300" s="1" t="s">
        <v>230</v>
      </c>
      <c r="U300" s="41" t="s">
        <v>231</v>
      </c>
    </row>
    <row r="301" spans="1:21" ht="38.4" customHeight="1" x14ac:dyDescent="0.3">
      <c r="A301" s="76">
        <v>806</v>
      </c>
      <c r="B301" s="18" t="s">
        <v>571</v>
      </c>
      <c r="J301" s="57" t="s">
        <v>100</v>
      </c>
      <c r="M301" s="8" t="str">
        <f t="shared" si="14"/>
        <v>PRO</v>
      </c>
      <c r="N301" s="10" t="str">
        <f t="shared" ca="1" si="15"/>
        <v/>
      </c>
      <c r="P301" s="8" t="s">
        <v>38</v>
      </c>
      <c r="Q301" s="16" t="s">
        <v>38</v>
      </c>
      <c r="S301" s="1" t="s">
        <v>230</v>
      </c>
      <c r="T301" s="1" t="s">
        <v>230</v>
      </c>
      <c r="U301" s="41" t="s">
        <v>231</v>
      </c>
    </row>
    <row r="302" spans="1:21" ht="38.4" customHeight="1" x14ac:dyDescent="0.3">
      <c r="A302" s="76">
        <v>706</v>
      </c>
      <c r="B302" s="18" t="s">
        <v>602</v>
      </c>
      <c r="J302" s="57" t="s">
        <v>100</v>
      </c>
      <c r="M302" s="8" t="str">
        <f t="shared" si="14"/>
        <v>PRO</v>
      </c>
      <c r="N302" s="10" t="str">
        <f t="shared" ca="1" si="15"/>
        <v/>
      </c>
      <c r="P302" s="8" t="s">
        <v>38</v>
      </c>
      <c r="Q302" s="16" t="s">
        <v>38</v>
      </c>
      <c r="S302" s="1" t="s">
        <v>230</v>
      </c>
      <c r="T302" s="1" t="s">
        <v>230</v>
      </c>
      <c r="U302" s="41" t="s">
        <v>231</v>
      </c>
    </row>
    <row r="303" spans="1:21" ht="38.4" customHeight="1" x14ac:dyDescent="0.3">
      <c r="A303" s="76">
        <v>712</v>
      </c>
      <c r="B303" s="18" t="s">
        <v>603</v>
      </c>
      <c r="J303" s="57" t="s">
        <v>100</v>
      </c>
      <c r="M303" s="8" t="str">
        <f t="shared" si="14"/>
        <v>PRO</v>
      </c>
      <c r="N303" s="10" t="str">
        <f t="shared" ca="1" si="15"/>
        <v/>
      </c>
      <c r="P303" s="8" t="s">
        <v>38</v>
      </c>
      <c r="Q303" s="16" t="s">
        <v>38</v>
      </c>
      <c r="S303" s="1" t="s">
        <v>230</v>
      </c>
      <c r="T303" s="1" t="s">
        <v>230</v>
      </c>
      <c r="U303" s="41" t="s">
        <v>231</v>
      </c>
    </row>
    <row r="304" spans="1:21" ht="38.4" customHeight="1" x14ac:dyDescent="0.3">
      <c r="A304" s="76">
        <v>710</v>
      </c>
      <c r="B304" s="18" t="s">
        <v>604</v>
      </c>
      <c r="J304" s="57" t="s">
        <v>100</v>
      </c>
      <c r="M304" s="8" t="str">
        <f t="shared" si="14"/>
        <v>PRO</v>
      </c>
      <c r="N304" s="10" t="str">
        <f t="shared" ca="1" si="15"/>
        <v/>
      </c>
      <c r="P304" s="8" t="s">
        <v>38</v>
      </c>
      <c r="Q304" s="16" t="s">
        <v>38</v>
      </c>
      <c r="S304" s="1" t="s">
        <v>230</v>
      </c>
      <c r="T304" s="1" t="s">
        <v>230</v>
      </c>
      <c r="U304" s="41" t="s">
        <v>231</v>
      </c>
    </row>
    <row r="305" spans="1:21" ht="38.4" customHeight="1" x14ac:dyDescent="0.3">
      <c r="A305" s="76">
        <v>300</v>
      </c>
      <c r="B305" s="18" t="s">
        <v>605</v>
      </c>
      <c r="J305" s="57" t="s">
        <v>100</v>
      </c>
      <c r="M305" s="8" t="str">
        <f t="shared" si="14"/>
        <v>PRO</v>
      </c>
      <c r="N305" s="10" t="str">
        <f t="shared" ca="1" si="15"/>
        <v/>
      </c>
      <c r="P305" s="8" t="s">
        <v>38</v>
      </c>
      <c r="Q305" s="16" t="s">
        <v>38</v>
      </c>
      <c r="S305" s="1" t="s">
        <v>230</v>
      </c>
      <c r="T305" s="1" t="s">
        <v>230</v>
      </c>
      <c r="U305" s="41" t="s">
        <v>231</v>
      </c>
    </row>
    <row r="306" spans="1:21" ht="38.4" customHeight="1" x14ac:dyDescent="0.3">
      <c r="A306" s="76">
        <v>702</v>
      </c>
      <c r="B306" s="18" t="s">
        <v>606</v>
      </c>
      <c r="J306" s="57" t="s">
        <v>100</v>
      </c>
      <c r="M306" s="8" t="str">
        <f t="shared" si="14"/>
        <v>PRO</v>
      </c>
      <c r="N306" s="10" t="str">
        <f t="shared" ca="1" si="15"/>
        <v/>
      </c>
      <c r="P306" s="8" t="s">
        <v>38</v>
      </c>
      <c r="Q306" s="16" t="s">
        <v>38</v>
      </c>
      <c r="S306" s="1" t="s">
        <v>230</v>
      </c>
      <c r="T306" s="1" t="s">
        <v>230</v>
      </c>
      <c r="U306" s="41" t="s">
        <v>231</v>
      </c>
    </row>
    <row r="307" spans="1:21" ht="38.4" customHeight="1" x14ac:dyDescent="0.3">
      <c r="A307" s="76">
        <v>316</v>
      </c>
      <c r="B307" s="18" t="s">
        <v>607</v>
      </c>
      <c r="J307" s="57" t="s">
        <v>100</v>
      </c>
      <c r="M307" s="8" t="str">
        <f t="shared" si="14"/>
        <v>PRO</v>
      </c>
      <c r="N307" s="10" t="str">
        <f t="shared" ca="1" si="15"/>
        <v/>
      </c>
      <c r="P307" s="8" t="s">
        <v>38</v>
      </c>
      <c r="Q307" s="16" t="s">
        <v>38</v>
      </c>
      <c r="S307" s="1" t="s">
        <v>230</v>
      </c>
      <c r="T307" s="1" t="s">
        <v>230</v>
      </c>
      <c r="U307" s="41" t="s">
        <v>231</v>
      </c>
    </row>
    <row r="308" spans="1:21" ht="38.4" customHeight="1" x14ac:dyDescent="0.3">
      <c r="A308" s="76">
        <v>314</v>
      </c>
      <c r="B308" s="18" t="s">
        <v>608</v>
      </c>
      <c r="J308" s="57" t="s">
        <v>100</v>
      </c>
      <c r="M308" s="8" t="str">
        <f t="shared" si="14"/>
        <v>PRO</v>
      </c>
      <c r="N308" s="10" t="str">
        <f t="shared" ca="1" si="15"/>
        <v/>
      </c>
      <c r="P308" s="8" t="s">
        <v>38</v>
      </c>
      <c r="Q308" s="16" t="s">
        <v>38</v>
      </c>
      <c r="S308" s="1" t="s">
        <v>230</v>
      </c>
      <c r="T308" s="1" t="s">
        <v>230</v>
      </c>
      <c r="U308" s="41" t="s">
        <v>231</v>
      </c>
    </row>
    <row r="309" spans="1:21" ht="38.4" customHeight="1" x14ac:dyDescent="0.3">
      <c r="A309" s="76">
        <v>299</v>
      </c>
      <c r="B309" s="18" t="s">
        <v>609</v>
      </c>
      <c r="J309" s="57" t="s">
        <v>100</v>
      </c>
      <c r="M309" s="8" t="str">
        <f t="shared" si="14"/>
        <v>PRO</v>
      </c>
      <c r="N309" s="10" t="str">
        <f t="shared" ca="1" si="15"/>
        <v/>
      </c>
      <c r="P309" s="8" t="s">
        <v>38</v>
      </c>
      <c r="Q309" s="16" t="s">
        <v>38</v>
      </c>
      <c r="S309" s="1" t="s">
        <v>230</v>
      </c>
      <c r="T309" s="1" t="s">
        <v>230</v>
      </c>
      <c r="U309" s="41" t="s">
        <v>231</v>
      </c>
    </row>
    <row r="310" spans="1:21" ht="38.4" customHeight="1" x14ac:dyDescent="0.3">
      <c r="A310" s="76">
        <v>307</v>
      </c>
      <c r="B310" s="18" t="s">
        <v>610</v>
      </c>
      <c r="J310" s="57" t="s">
        <v>100</v>
      </c>
      <c r="M310" s="8" t="str">
        <f t="shared" si="14"/>
        <v>PRO</v>
      </c>
      <c r="N310" s="10" t="str">
        <f t="shared" ca="1" si="15"/>
        <v/>
      </c>
      <c r="P310" s="8" t="s">
        <v>38</v>
      </c>
      <c r="Q310" s="16" t="s">
        <v>38</v>
      </c>
      <c r="S310" s="1" t="s">
        <v>230</v>
      </c>
      <c r="T310" s="1" t="s">
        <v>230</v>
      </c>
      <c r="U310" s="41" t="s">
        <v>231</v>
      </c>
    </row>
    <row r="311" spans="1:21" ht="38.4" customHeight="1" x14ac:dyDescent="0.3">
      <c r="A311" s="76">
        <v>320</v>
      </c>
      <c r="B311" s="18" t="s">
        <v>611</v>
      </c>
      <c r="J311" s="57" t="s">
        <v>100</v>
      </c>
      <c r="M311" s="8" t="str">
        <f t="shared" si="14"/>
        <v>PRO</v>
      </c>
      <c r="N311" s="10" t="str">
        <f t="shared" ca="1" si="15"/>
        <v/>
      </c>
      <c r="P311" s="8" t="s">
        <v>38</v>
      </c>
      <c r="Q311" s="16" t="s">
        <v>38</v>
      </c>
      <c r="S311" s="1" t="s">
        <v>230</v>
      </c>
      <c r="T311" s="1" t="s">
        <v>230</v>
      </c>
      <c r="U311" s="41" t="s">
        <v>231</v>
      </c>
    </row>
    <row r="312" spans="1:21" ht="38.4" customHeight="1" x14ac:dyDescent="0.3">
      <c r="A312" s="76">
        <v>718</v>
      </c>
      <c r="B312" s="18" t="s">
        <v>612</v>
      </c>
      <c r="J312" s="57" t="s">
        <v>100</v>
      </c>
      <c r="M312" s="8" t="str">
        <f t="shared" si="14"/>
        <v>PRO</v>
      </c>
      <c r="N312" s="10" t="str">
        <f t="shared" ca="1" si="15"/>
        <v/>
      </c>
      <c r="P312" s="8" t="s">
        <v>38</v>
      </c>
      <c r="Q312" s="16" t="s">
        <v>38</v>
      </c>
      <c r="S312" s="1" t="s">
        <v>230</v>
      </c>
      <c r="T312" s="1" t="s">
        <v>230</v>
      </c>
      <c r="U312" s="41" t="s">
        <v>231</v>
      </c>
    </row>
    <row r="313" spans="1:21" ht="38.4" customHeight="1" x14ac:dyDescent="0.3">
      <c r="A313" s="76">
        <v>311</v>
      </c>
      <c r="B313" s="18" t="s">
        <v>613</v>
      </c>
      <c r="J313" s="57" t="s">
        <v>100</v>
      </c>
      <c r="M313" s="8" t="str">
        <f t="shared" si="14"/>
        <v>PRO</v>
      </c>
      <c r="N313" s="10" t="str">
        <f t="shared" ca="1" si="15"/>
        <v/>
      </c>
      <c r="P313" s="8" t="s">
        <v>38</v>
      </c>
      <c r="Q313" s="16" t="s">
        <v>38</v>
      </c>
      <c r="S313" s="1" t="s">
        <v>230</v>
      </c>
      <c r="T313" s="1" t="s">
        <v>230</v>
      </c>
      <c r="U313" s="41" t="s">
        <v>231</v>
      </c>
    </row>
    <row r="314" spans="1:21" ht="38.4" customHeight="1" x14ac:dyDescent="0.3">
      <c r="A314" s="76">
        <v>339</v>
      </c>
      <c r="B314" s="18" t="s">
        <v>614</v>
      </c>
      <c r="J314" s="57" t="s">
        <v>100</v>
      </c>
      <c r="M314" s="8" t="str">
        <f t="shared" si="14"/>
        <v>PRO</v>
      </c>
      <c r="N314" s="10" t="str">
        <f t="shared" ca="1" si="15"/>
        <v/>
      </c>
      <c r="P314" s="8" t="s">
        <v>38</v>
      </c>
      <c r="Q314" s="16" t="s">
        <v>38</v>
      </c>
      <c r="S314" s="1" t="s">
        <v>230</v>
      </c>
      <c r="T314" s="1" t="s">
        <v>230</v>
      </c>
      <c r="U314" s="41" t="s">
        <v>231</v>
      </c>
    </row>
    <row r="315" spans="1:21" ht="38.4" customHeight="1" x14ac:dyDescent="0.3">
      <c r="A315" s="76">
        <v>322</v>
      </c>
      <c r="B315" s="18" t="s">
        <v>615</v>
      </c>
      <c r="J315" s="57" t="s">
        <v>100</v>
      </c>
      <c r="M315" s="8" t="str">
        <f t="shared" si="14"/>
        <v>PRO</v>
      </c>
      <c r="N315" s="10" t="str">
        <f t="shared" ca="1" si="15"/>
        <v/>
      </c>
      <c r="P315" s="8" t="s">
        <v>38</v>
      </c>
      <c r="Q315" s="16" t="s">
        <v>38</v>
      </c>
      <c r="S315" s="1" t="s">
        <v>230</v>
      </c>
      <c r="T315" s="1" t="s">
        <v>230</v>
      </c>
      <c r="U315" s="41" t="s">
        <v>231</v>
      </c>
    </row>
    <row r="316" spans="1:21" ht="38.4" customHeight="1" x14ac:dyDescent="0.3">
      <c r="A316" s="76">
        <v>325</v>
      </c>
      <c r="B316" s="18" t="s">
        <v>616</v>
      </c>
      <c r="J316" s="57" t="s">
        <v>100</v>
      </c>
      <c r="M316" s="8" t="str">
        <f t="shared" si="14"/>
        <v>PRO</v>
      </c>
      <c r="N316" s="10" t="str">
        <f t="shared" ca="1" si="15"/>
        <v/>
      </c>
      <c r="P316" s="8" t="s">
        <v>38</v>
      </c>
      <c r="Q316" s="16" t="s">
        <v>38</v>
      </c>
      <c r="S316" s="1" t="s">
        <v>230</v>
      </c>
      <c r="T316" s="1" t="s">
        <v>230</v>
      </c>
      <c r="U316" s="41" t="s">
        <v>231</v>
      </c>
    </row>
    <row r="317" spans="1:21" ht="38.4" customHeight="1" x14ac:dyDescent="0.3">
      <c r="A317" s="76">
        <v>328</v>
      </c>
      <c r="B317" s="18" t="s">
        <v>617</v>
      </c>
      <c r="J317" s="57" t="s">
        <v>100</v>
      </c>
      <c r="M317" s="8" t="str">
        <f t="shared" si="14"/>
        <v>PRO</v>
      </c>
      <c r="N317" s="10" t="str">
        <f t="shared" ca="1" si="15"/>
        <v/>
      </c>
      <c r="P317" s="8" t="s">
        <v>38</v>
      </c>
      <c r="Q317" s="16" t="s">
        <v>38</v>
      </c>
      <c r="S317" s="1" t="s">
        <v>230</v>
      </c>
      <c r="T317" s="1" t="s">
        <v>230</v>
      </c>
      <c r="U317" s="41" t="s">
        <v>231</v>
      </c>
    </row>
    <row r="318" spans="1:21" ht="38.4" customHeight="1" x14ac:dyDescent="0.3">
      <c r="A318" s="76">
        <v>324</v>
      </c>
      <c r="B318" s="18" t="s">
        <v>618</v>
      </c>
      <c r="J318" s="57" t="s">
        <v>100</v>
      </c>
      <c r="M318" s="8" t="str">
        <f t="shared" si="14"/>
        <v>PRO</v>
      </c>
      <c r="N318" s="10" t="str">
        <f t="shared" ca="1" si="15"/>
        <v/>
      </c>
      <c r="P318" s="8" t="s">
        <v>38</v>
      </c>
      <c r="Q318" s="16" t="s">
        <v>38</v>
      </c>
      <c r="S318" s="1" t="s">
        <v>230</v>
      </c>
      <c r="T318" s="1" t="s">
        <v>230</v>
      </c>
      <c r="U318" s="41" t="s">
        <v>231</v>
      </c>
    </row>
    <row r="319" spans="1:21" ht="38.4" customHeight="1" x14ac:dyDescent="0.3">
      <c r="A319" s="76">
        <v>305</v>
      </c>
      <c r="B319" s="18" t="s">
        <v>619</v>
      </c>
      <c r="J319" s="57" t="s">
        <v>100</v>
      </c>
      <c r="M319" s="8" t="str">
        <f t="shared" si="14"/>
        <v>PRO</v>
      </c>
      <c r="N319" s="10" t="str">
        <f t="shared" ca="1" si="15"/>
        <v/>
      </c>
      <c r="P319" s="8" t="s">
        <v>38</v>
      </c>
      <c r="Q319" s="16" t="s">
        <v>38</v>
      </c>
      <c r="S319" s="1" t="s">
        <v>230</v>
      </c>
      <c r="T319" s="1" t="s">
        <v>230</v>
      </c>
      <c r="U319" s="41" t="s">
        <v>231</v>
      </c>
    </row>
    <row r="320" spans="1:21" ht="38.4" customHeight="1" x14ac:dyDescent="0.3">
      <c r="A320" s="76">
        <v>1608</v>
      </c>
      <c r="B320" s="18" t="s">
        <v>575</v>
      </c>
      <c r="C320" s="79" t="s">
        <v>620</v>
      </c>
      <c r="F320" s="20" t="s">
        <v>299</v>
      </c>
      <c r="J320" s="78" t="s">
        <v>100</v>
      </c>
      <c r="M320" s="8" t="str">
        <f t="shared" si="14"/>
        <v>PRO</v>
      </c>
      <c r="N320" s="10" t="str">
        <f t="shared" ca="1" si="15"/>
        <v/>
      </c>
      <c r="P320" s="91" t="s">
        <v>130</v>
      </c>
      <c r="Q320" s="77" t="s">
        <v>82</v>
      </c>
      <c r="R320" s="20" t="s">
        <v>204</v>
      </c>
      <c r="S320" s="1" t="s">
        <v>230</v>
      </c>
      <c r="T320" s="1" t="s">
        <v>231</v>
      </c>
      <c r="U320" s="20" t="s">
        <v>230</v>
      </c>
    </row>
    <row r="321" spans="1:21" ht="38.4" customHeight="1" x14ac:dyDescent="0.3">
      <c r="A321" s="76">
        <v>1609</v>
      </c>
      <c r="B321" s="18" t="s">
        <v>576</v>
      </c>
      <c r="C321" s="79" t="s">
        <v>620</v>
      </c>
      <c r="F321" s="20" t="s">
        <v>299</v>
      </c>
      <c r="J321" s="78" t="s">
        <v>100</v>
      </c>
      <c r="M321" s="8" t="str">
        <f t="shared" si="14"/>
        <v>PRO</v>
      </c>
      <c r="N321" s="10" t="str">
        <f t="shared" ca="1" si="15"/>
        <v/>
      </c>
      <c r="P321" s="91" t="s">
        <v>130</v>
      </c>
      <c r="Q321" s="81" t="s">
        <v>82</v>
      </c>
      <c r="R321" s="20" t="s">
        <v>204</v>
      </c>
      <c r="S321" s="1" t="s">
        <v>230</v>
      </c>
      <c r="T321" s="1" t="s">
        <v>231</v>
      </c>
      <c r="U321" s="20" t="s">
        <v>230</v>
      </c>
    </row>
    <row r="322" spans="1:21" ht="38.4" customHeight="1" x14ac:dyDescent="0.3">
      <c r="A322" s="76">
        <v>1610</v>
      </c>
      <c r="B322" s="18" t="s">
        <v>577</v>
      </c>
      <c r="C322" s="79" t="s">
        <v>620</v>
      </c>
      <c r="F322" s="20" t="s">
        <v>299</v>
      </c>
      <c r="J322" s="78" t="s">
        <v>100</v>
      </c>
      <c r="M322" s="8" t="str">
        <f t="shared" ref="M322:M347" si="16">LEFT(B322,3)</f>
        <v>PRO</v>
      </c>
      <c r="N322" s="10" t="str">
        <f t="shared" ref="N322:N342" ca="1" si="17">IF(K322="","",IF(TODAY()&gt;K322,"SIM","NÃO"))</f>
        <v/>
      </c>
      <c r="P322" s="91" t="s">
        <v>130</v>
      </c>
      <c r="Q322" s="77" t="s">
        <v>82</v>
      </c>
      <c r="R322" s="20" t="s">
        <v>204</v>
      </c>
      <c r="S322" s="1" t="s">
        <v>230</v>
      </c>
      <c r="T322" s="1" t="s">
        <v>231</v>
      </c>
      <c r="U322" s="20" t="s">
        <v>230</v>
      </c>
    </row>
    <row r="323" spans="1:21" ht="38.4" customHeight="1" x14ac:dyDescent="0.3">
      <c r="A323" s="76">
        <v>1611</v>
      </c>
      <c r="B323" s="18" t="s">
        <v>578</v>
      </c>
      <c r="C323" s="79" t="s">
        <v>620</v>
      </c>
      <c r="F323" s="20" t="s">
        <v>299</v>
      </c>
      <c r="J323" s="78" t="s">
        <v>100</v>
      </c>
      <c r="M323" s="8" t="str">
        <f t="shared" si="16"/>
        <v>PRO</v>
      </c>
      <c r="N323" s="10" t="str">
        <f t="shared" ca="1" si="17"/>
        <v/>
      </c>
      <c r="P323" s="91" t="s">
        <v>130</v>
      </c>
      <c r="Q323" s="77" t="s">
        <v>82</v>
      </c>
      <c r="R323" s="20" t="s">
        <v>204</v>
      </c>
      <c r="S323" s="1" t="s">
        <v>230</v>
      </c>
      <c r="T323" s="1" t="s">
        <v>231</v>
      </c>
      <c r="U323" s="20" t="s">
        <v>230</v>
      </c>
    </row>
    <row r="324" spans="1:21" ht="38.4" customHeight="1" x14ac:dyDescent="0.3">
      <c r="A324" s="76">
        <v>1612</v>
      </c>
      <c r="B324" s="18" t="s">
        <v>579</v>
      </c>
      <c r="C324" s="79" t="s">
        <v>620</v>
      </c>
      <c r="F324" s="20" t="s">
        <v>299</v>
      </c>
      <c r="J324" s="78" t="s">
        <v>100</v>
      </c>
      <c r="M324" s="8" t="str">
        <f t="shared" si="16"/>
        <v>PRO</v>
      </c>
      <c r="N324" s="10" t="str">
        <f t="shared" ca="1" si="17"/>
        <v/>
      </c>
      <c r="P324" s="91" t="s">
        <v>130</v>
      </c>
      <c r="Q324" s="77" t="s">
        <v>82</v>
      </c>
      <c r="R324" s="20" t="s">
        <v>204</v>
      </c>
      <c r="S324" s="1" t="s">
        <v>230</v>
      </c>
      <c r="T324" s="1" t="s">
        <v>231</v>
      </c>
      <c r="U324" s="20" t="s">
        <v>230</v>
      </c>
    </row>
    <row r="325" spans="1:21" ht="38.4" customHeight="1" x14ac:dyDescent="0.3">
      <c r="A325" s="76">
        <v>1613</v>
      </c>
      <c r="B325" s="18" t="s">
        <v>580</v>
      </c>
      <c r="C325" s="79" t="s">
        <v>620</v>
      </c>
      <c r="F325" s="20" t="s">
        <v>299</v>
      </c>
      <c r="J325" s="78" t="s">
        <v>100</v>
      </c>
      <c r="M325" s="8" t="str">
        <f t="shared" si="16"/>
        <v>PRO</v>
      </c>
      <c r="N325" s="10" t="str">
        <f t="shared" ca="1" si="17"/>
        <v/>
      </c>
      <c r="P325" s="91" t="s">
        <v>130</v>
      </c>
      <c r="Q325" s="77" t="s">
        <v>82</v>
      </c>
      <c r="R325" s="20" t="s">
        <v>204</v>
      </c>
      <c r="S325" s="1" t="s">
        <v>230</v>
      </c>
      <c r="T325" s="1" t="s">
        <v>230</v>
      </c>
      <c r="U325" s="20" t="s">
        <v>231</v>
      </c>
    </row>
    <row r="326" spans="1:21" ht="38.4" customHeight="1" x14ac:dyDescent="0.3">
      <c r="A326" s="76">
        <v>1614</v>
      </c>
      <c r="B326" s="18" t="s">
        <v>581</v>
      </c>
      <c r="C326" s="79" t="s">
        <v>620</v>
      </c>
      <c r="F326" s="20" t="s">
        <v>299</v>
      </c>
      <c r="J326" s="78" t="s">
        <v>100</v>
      </c>
      <c r="M326" s="8" t="str">
        <f t="shared" si="16"/>
        <v>PRO</v>
      </c>
      <c r="N326" s="10" t="str">
        <f t="shared" ca="1" si="17"/>
        <v/>
      </c>
      <c r="P326" s="91" t="s">
        <v>130</v>
      </c>
      <c r="Q326" s="77" t="s">
        <v>82</v>
      </c>
      <c r="R326" s="20" t="s">
        <v>204</v>
      </c>
      <c r="S326" s="1" t="s">
        <v>230</v>
      </c>
      <c r="T326" s="1" t="s">
        <v>231</v>
      </c>
      <c r="U326" s="20" t="s">
        <v>230</v>
      </c>
    </row>
    <row r="327" spans="1:21" ht="38.4" customHeight="1" x14ac:dyDescent="0.3">
      <c r="A327" s="76">
        <v>1615</v>
      </c>
      <c r="B327" s="18" t="s">
        <v>582</v>
      </c>
      <c r="C327" s="79" t="s">
        <v>620</v>
      </c>
      <c r="F327" s="20" t="s">
        <v>299</v>
      </c>
      <c r="J327" s="78" t="s">
        <v>100</v>
      </c>
      <c r="M327" s="8" t="str">
        <f t="shared" si="16"/>
        <v>PRO</v>
      </c>
      <c r="N327" s="10" t="str">
        <f t="shared" ca="1" si="17"/>
        <v/>
      </c>
      <c r="P327" s="91" t="s">
        <v>130</v>
      </c>
      <c r="Q327" s="77" t="s">
        <v>82</v>
      </c>
      <c r="R327" s="20" t="s">
        <v>204</v>
      </c>
      <c r="S327" s="1" t="s">
        <v>230</v>
      </c>
      <c r="T327" s="1" t="s">
        <v>231</v>
      </c>
      <c r="U327" s="20" t="s">
        <v>230</v>
      </c>
    </row>
    <row r="328" spans="1:21" ht="38.4" customHeight="1" x14ac:dyDescent="0.3">
      <c r="A328" s="76">
        <v>1616</v>
      </c>
      <c r="B328" s="18" t="s">
        <v>583</v>
      </c>
      <c r="C328" s="79" t="s">
        <v>620</v>
      </c>
      <c r="F328" s="20" t="s">
        <v>299</v>
      </c>
      <c r="J328" s="78" t="s">
        <v>100</v>
      </c>
      <c r="M328" s="8" t="str">
        <f t="shared" si="16"/>
        <v>PRO</v>
      </c>
      <c r="N328" s="10" t="str">
        <f t="shared" ca="1" si="17"/>
        <v/>
      </c>
      <c r="P328" s="91" t="s">
        <v>130</v>
      </c>
      <c r="Q328" s="77" t="s">
        <v>82</v>
      </c>
      <c r="R328" s="20" t="s">
        <v>204</v>
      </c>
      <c r="S328" s="1" t="s">
        <v>230</v>
      </c>
      <c r="T328" s="1" t="s">
        <v>231</v>
      </c>
      <c r="U328" s="20" t="s">
        <v>230</v>
      </c>
    </row>
    <row r="329" spans="1:21" ht="38.4" customHeight="1" x14ac:dyDescent="0.3">
      <c r="A329" s="76">
        <v>1617</v>
      </c>
      <c r="B329" s="18" t="s">
        <v>584</v>
      </c>
      <c r="C329" s="79" t="s">
        <v>620</v>
      </c>
      <c r="F329" s="20" t="s">
        <v>299</v>
      </c>
      <c r="J329" s="78" t="s">
        <v>100</v>
      </c>
      <c r="M329" s="8" t="str">
        <f t="shared" si="16"/>
        <v>PRO</v>
      </c>
      <c r="N329" s="10" t="str">
        <f t="shared" ca="1" si="17"/>
        <v/>
      </c>
      <c r="P329" s="91" t="s">
        <v>130</v>
      </c>
      <c r="Q329" s="77" t="s">
        <v>82</v>
      </c>
      <c r="R329" s="20" t="s">
        <v>204</v>
      </c>
      <c r="S329" s="1" t="s">
        <v>230</v>
      </c>
      <c r="T329" s="1" t="s">
        <v>231</v>
      </c>
      <c r="U329" s="20" t="s">
        <v>230</v>
      </c>
    </row>
    <row r="330" spans="1:21" ht="38.4" customHeight="1" x14ac:dyDescent="0.3">
      <c r="A330" s="76">
        <v>1618</v>
      </c>
      <c r="B330" s="18" t="s">
        <v>585</v>
      </c>
      <c r="C330" s="79" t="s">
        <v>620</v>
      </c>
      <c r="F330" s="20" t="s">
        <v>299</v>
      </c>
      <c r="J330" s="78" t="s">
        <v>100</v>
      </c>
      <c r="M330" s="8" t="str">
        <f t="shared" si="16"/>
        <v>PRO</v>
      </c>
      <c r="N330" s="10" t="str">
        <f t="shared" ca="1" si="17"/>
        <v/>
      </c>
      <c r="P330" s="91" t="s">
        <v>130</v>
      </c>
      <c r="Q330" s="77" t="s">
        <v>82</v>
      </c>
      <c r="R330" s="20" t="s">
        <v>204</v>
      </c>
      <c r="S330" s="1" t="s">
        <v>230</v>
      </c>
      <c r="T330" s="1" t="s">
        <v>231</v>
      </c>
      <c r="U330" s="20" t="s">
        <v>230</v>
      </c>
    </row>
    <row r="331" spans="1:21" ht="38.4" customHeight="1" x14ac:dyDescent="0.3">
      <c r="A331" s="76">
        <v>1619</v>
      </c>
      <c r="B331" s="18" t="s">
        <v>586</v>
      </c>
      <c r="C331" s="79" t="s">
        <v>620</v>
      </c>
      <c r="F331" s="20" t="s">
        <v>299</v>
      </c>
      <c r="J331" s="78" t="s">
        <v>100</v>
      </c>
      <c r="M331" s="8" t="str">
        <f t="shared" si="16"/>
        <v>PRO</v>
      </c>
      <c r="N331" s="10" t="str">
        <f t="shared" ca="1" si="17"/>
        <v/>
      </c>
      <c r="P331" s="91" t="s">
        <v>130</v>
      </c>
      <c r="Q331" s="77" t="s">
        <v>82</v>
      </c>
      <c r="R331" s="20" t="s">
        <v>204</v>
      </c>
      <c r="S331" s="1" t="s">
        <v>230</v>
      </c>
      <c r="T331" s="1" t="s">
        <v>231</v>
      </c>
      <c r="U331" s="20" t="s">
        <v>230</v>
      </c>
    </row>
    <row r="332" spans="1:21" ht="38.4" customHeight="1" x14ac:dyDescent="0.3">
      <c r="A332" s="76">
        <v>1620</v>
      </c>
      <c r="B332" s="18" t="s">
        <v>587</v>
      </c>
      <c r="C332" s="79" t="s">
        <v>620</v>
      </c>
      <c r="F332" s="20" t="s">
        <v>299</v>
      </c>
      <c r="J332" s="78" t="s">
        <v>100</v>
      </c>
      <c r="M332" s="8" t="str">
        <f t="shared" si="16"/>
        <v>PRO</v>
      </c>
      <c r="N332" s="10" t="str">
        <f t="shared" ca="1" si="17"/>
        <v/>
      </c>
      <c r="P332" s="91" t="s">
        <v>130</v>
      </c>
      <c r="Q332" s="77" t="s">
        <v>82</v>
      </c>
      <c r="R332" s="20" t="s">
        <v>204</v>
      </c>
      <c r="S332" s="1" t="s">
        <v>230</v>
      </c>
      <c r="T332" s="1" t="s">
        <v>231</v>
      </c>
      <c r="U332" s="20" t="s">
        <v>230</v>
      </c>
    </row>
    <row r="333" spans="1:21" ht="38.4" customHeight="1" x14ac:dyDescent="0.3">
      <c r="A333" s="76">
        <v>1621</v>
      </c>
      <c r="B333" s="18" t="s">
        <v>588</v>
      </c>
      <c r="C333" s="79" t="s">
        <v>620</v>
      </c>
      <c r="F333" s="20" t="s">
        <v>299</v>
      </c>
      <c r="J333" s="78" t="s">
        <v>100</v>
      </c>
      <c r="M333" s="8" t="str">
        <f t="shared" si="16"/>
        <v>PRO</v>
      </c>
      <c r="N333" s="10" t="str">
        <f t="shared" ca="1" si="17"/>
        <v/>
      </c>
      <c r="P333" s="91" t="s">
        <v>130</v>
      </c>
      <c r="Q333" s="77" t="s">
        <v>82</v>
      </c>
      <c r="R333" s="20" t="s">
        <v>204</v>
      </c>
      <c r="S333" s="1" t="s">
        <v>230</v>
      </c>
      <c r="T333" s="1" t="s">
        <v>231</v>
      </c>
      <c r="U333" s="20" t="s">
        <v>230</v>
      </c>
    </row>
    <row r="334" spans="1:21" ht="38.4" customHeight="1" x14ac:dyDescent="0.3">
      <c r="A334" s="76">
        <v>1622</v>
      </c>
      <c r="B334" s="18" t="s">
        <v>589</v>
      </c>
      <c r="C334" s="79" t="s">
        <v>620</v>
      </c>
      <c r="F334" s="20" t="s">
        <v>299</v>
      </c>
      <c r="J334" s="78" t="s">
        <v>100</v>
      </c>
      <c r="M334" s="8" t="str">
        <f t="shared" si="16"/>
        <v>PRO</v>
      </c>
      <c r="N334" s="10" t="str">
        <f t="shared" ca="1" si="17"/>
        <v/>
      </c>
      <c r="P334" s="91" t="s">
        <v>130</v>
      </c>
      <c r="Q334" s="77" t="s">
        <v>82</v>
      </c>
      <c r="R334" s="20" t="s">
        <v>204</v>
      </c>
      <c r="S334" s="1" t="s">
        <v>230</v>
      </c>
      <c r="T334" s="1" t="s">
        <v>231</v>
      </c>
      <c r="U334" s="20" t="s">
        <v>230</v>
      </c>
    </row>
    <row r="335" spans="1:21" ht="38.4" customHeight="1" x14ac:dyDescent="0.3">
      <c r="A335" s="76">
        <v>1559</v>
      </c>
      <c r="B335" s="18" t="s">
        <v>431</v>
      </c>
      <c r="J335" s="78" t="s">
        <v>100</v>
      </c>
      <c r="M335" s="8" t="str">
        <f t="shared" si="16"/>
        <v>PRO</v>
      </c>
      <c r="N335" s="10" t="str">
        <f t="shared" ca="1" si="17"/>
        <v/>
      </c>
      <c r="P335" s="91" t="s">
        <v>130</v>
      </c>
      <c r="Q335" s="77" t="s">
        <v>82</v>
      </c>
      <c r="R335" s="20" t="s">
        <v>204</v>
      </c>
      <c r="S335" s="1" t="s">
        <v>230</v>
      </c>
      <c r="T335" s="1" t="s">
        <v>231</v>
      </c>
      <c r="U335" s="20" t="s">
        <v>230</v>
      </c>
    </row>
    <row r="336" spans="1:21" ht="38.4" customHeight="1" x14ac:dyDescent="0.3">
      <c r="A336" s="76">
        <v>1577</v>
      </c>
      <c r="B336" s="18" t="s">
        <v>428</v>
      </c>
      <c r="J336" s="78" t="s">
        <v>100</v>
      </c>
      <c r="M336" s="8" t="str">
        <f t="shared" si="16"/>
        <v>PRO</v>
      </c>
      <c r="N336" s="10" t="str">
        <f t="shared" ca="1" si="17"/>
        <v/>
      </c>
      <c r="P336" s="91" t="s">
        <v>130</v>
      </c>
      <c r="Q336" s="77" t="s">
        <v>82</v>
      </c>
      <c r="R336" s="20" t="s">
        <v>204</v>
      </c>
      <c r="S336" s="1" t="s">
        <v>230</v>
      </c>
      <c r="T336" s="1" t="s">
        <v>231</v>
      </c>
      <c r="U336" s="20" t="s">
        <v>230</v>
      </c>
    </row>
    <row r="337" spans="1:21" ht="38.4" customHeight="1" x14ac:dyDescent="0.3">
      <c r="A337" s="76">
        <v>298</v>
      </c>
      <c r="B337" s="18" t="s">
        <v>524</v>
      </c>
      <c r="C337" s="82" t="s">
        <v>547</v>
      </c>
      <c r="F337" s="20" t="s">
        <v>78</v>
      </c>
      <c r="J337" s="78" t="s">
        <v>100</v>
      </c>
      <c r="M337" s="8" t="str">
        <f t="shared" si="16"/>
        <v>PRO</v>
      </c>
      <c r="N337" s="10" t="str">
        <f t="shared" ca="1" si="17"/>
        <v/>
      </c>
      <c r="P337" s="91" t="s">
        <v>130</v>
      </c>
      <c r="Q337" s="77" t="s">
        <v>83</v>
      </c>
      <c r="R337" s="20" t="s">
        <v>228</v>
      </c>
      <c r="S337" s="1" t="s">
        <v>230</v>
      </c>
      <c r="T337" s="1" t="s">
        <v>231</v>
      </c>
      <c r="U337" s="20" t="s">
        <v>230</v>
      </c>
    </row>
    <row r="338" spans="1:21" ht="38.4" customHeight="1" x14ac:dyDescent="0.3">
      <c r="A338" s="76">
        <v>1273</v>
      </c>
      <c r="B338" s="18" t="s">
        <v>621</v>
      </c>
      <c r="C338" s="82" t="s">
        <v>622</v>
      </c>
      <c r="D338" s="14" t="s">
        <v>839</v>
      </c>
      <c r="E338" s="105" t="s">
        <v>840</v>
      </c>
      <c r="F338" s="41" t="s">
        <v>623</v>
      </c>
      <c r="J338" s="78">
        <v>45784</v>
      </c>
      <c r="K338" s="83">
        <v>46173</v>
      </c>
      <c r="L338" s="47">
        <v>12</v>
      </c>
      <c r="M338" s="8" t="str">
        <f t="shared" si="16"/>
        <v>DEN</v>
      </c>
      <c r="N338" s="10" t="str">
        <f t="shared" ca="1" si="17"/>
        <v>NÃO</v>
      </c>
      <c r="P338" s="94" t="s">
        <v>130</v>
      </c>
      <c r="Q338" s="81" t="s">
        <v>83</v>
      </c>
      <c r="R338" s="41" t="s">
        <v>228</v>
      </c>
      <c r="S338" s="1" t="s">
        <v>231</v>
      </c>
      <c r="T338" s="1" t="s">
        <v>230</v>
      </c>
      <c r="U338" s="41" t="s">
        <v>231</v>
      </c>
    </row>
    <row r="339" spans="1:21" ht="38.4" customHeight="1" x14ac:dyDescent="0.3">
      <c r="A339" s="76">
        <v>1230</v>
      </c>
      <c r="B339" s="18" t="s">
        <v>207</v>
      </c>
      <c r="C339" s="82" t="s">
        <v>388</v>
      </c>
      <c r="D339" s="14" t="s">
        <v>839</v>
      </c>
      <c r="E339" s="105" t="s">
        <v>841</v>
      </c>
      <c r="F339" s="20" t="s">
        <v>623</v>
      </c>
      <c r="J339" s="78">
        <v>45784</v>
      </c>
      <c r="K339" s="83">
        <v>46173</v>
      </c>
      <c r="L339" s="47">
        <v>12</v>
      </c>
      <c r="M339" s="8" t="str">
        <f t="shared" si="16"/>
        <v>DEN</v>
      </c>
      <c r="N339" s="10" t="str">
        <f t="shared" ca="1" si="17"/>
        <v>NÃO</v>
      </c>
      <c r="P339" s="91" t="s">
        <v>130</v>
      </c>
      <c r="Q339" s="77" t="s">
        <v>82</v>
      </c>
      <c r="R339" s="20" t="s">
        <v>204</v>
      </c>
      <c r="S339" s="1" t="s">
        <v>231</v>
      </c>
      <c r="T339" s="1" t="s">
        <v>231</v>
      </c>
      <c r="U339" s="20" t="s">
        <v>230</v>
      </c>
    </row>
    <row r="340" spans="1:21" ht="38.4" customHeight="1" x14ac:dyDescent="0.3">
      <c r="A340" s="76">
        <v>344</v>
      </c>
      <c r="B340" s="18" t="s">
        <v>624</v>
      </c>
      <c r="C340" s="84" t="s">
        <v>630</v>
      </c>
      <c r="D340" s="14" t="s">
        <v>644</v>
      </c>
      <c r="E340" s="105" t="s">
        <v>842</v>
      </c>
      <c r="F340" s="20" t="s">
        <v>631</v>
      </c>
      <c r="J340" s="78">
        <v>45698</v>
      </c>
      <c r="K340" s="83">
        <v>46081</v>
      </c>
      <c r="M340" s="8" t="str">
        <f t="shared" si="16"/>
        <v>REL</v>
      </c>
      <c r="N340" s="10" t="str">
        <f t="shared" ca="1" si="17"/>
        <v>NÃO</v>
      </c>
      <c r="P340" s="91" t="s">
        <v>38</v>
      </c>
      <c r="Q340" s="77" t="s">
        <v>82</v>
      </c>
      <c r="R340" s="20" t="s">
        <v>204</v>
      </c>
      <c r="S340" s="1" t="s">
        <v>231</v>
      </c>
      <c r="T340" s="1" t="s">
        <v>231</v>
      </c>
      <c r="U340" s="20" t="s">
        <v>230</v>
      </c>
    </row>
    <row r="341" spans="1:21" ht="38.4" customHeight="1" x14ac:dyDescent="0.3">
      <c r="A341" s="76">
        <v>477</v>
      </c>
      <c r="B341" s="18" t="s">
        <v>626</v>
      </c>
      <c r="C341" s="84" t="s">
        <v>627</v>
      </c>
      <c r="D341" t="s">
        <v>629</v>
      </c>
      <c r="E341" s="105">
        <v>17627</v>
      </c>
      <c r="F341" s="20" t="s">
        <v>628</v>
      </c>
      <c r="J341" s="78">
        <v>44308</v>
      </c>
      <c r="K341" s="83">
        <v>44681</v>
      </c>
      <c r="M341" s="8" t="str">
        <f t="shared" si="16"/>
        <v>THD</v>
      </c>
      <c r="N341" s="10" t="str">
        <f t="shared" ca="1" si="17"/>
        <v>SIM</v>
      </c>
      <c r="P341" s="91" t="s">
        <v>168</v>
      </c>
      <c r="Q341" s="77" t="s">
        <v>82</v>
      </c>
      <c r="R341" s="20" t="s">
        <v>204</v>
      </c>
      <c r="S341" s="1" t="s">
        <v>231</v>
      </c>
      <c r="T341" s="1" t="s">
        <v>231</v>
      </c>
      <c r="U341" s="20" t="s">
        <v>230</v>
      </c>
    </row>
    <row r="342" spans="1:21" ht="38.4" customHeight="1" x14ac:dyDescent="0.3">
      <c r="A342" s="76">
        <v>1412</v>
      </c>
      <c r="B342" s="18" t="s">
        <v>632</v>
      </c>
      <c r="C342" s="84" t="s">
        <v>633</v>
      </c>
      <c r="D342" t="s">
        <v>635</v>
      </c>
      <c r="E342" s="105">
        <v>157</v>
      </c>
      <c r="F342" s="20" t="s">
        <v>634</v>
      </c>
      <c r="J342" s="78" t="s">
        <v>100</v>
      </c>
      <c r="M342" s="8" t="str">
        <f t="shared" si="16"/>
        <v>DIS</v>
      </c>
      <c r="N342" s="10" t="str">
        <f t="shared" ca="1" si="17"/>
        <v/>
      </c>
      <c r="P342" s="91" t="s">
        <v>130</v>
      </c>
      <c r="Q342" s="77" t="s">
        <v>38</v>
      </c>
      <c r="S342" s="1" t="s">
        <v>230</v>
      </c>
      <c r="T342" s="1" t="s">
        <v>230</v>
      </c>
      <c r="U342" s="20" t="s">
        <v>231</v>
      </c>
    </row>
    <row r="343" spans="1:21" ht="38.4" customHeight="1" x14ac:dyDescent="0.3">
      <c r="A343" s="76">
        <v>1357</v>
      </c>
      <c r="B343" s="18" t="s">
        <v>638</v>
      </c>
      <c r="C343" s="87" t="s">
        <v>641</v>
      </c>
      <c r="D343" s="14" t="s">
        <v>823</v>
      </c>
      <c r="E343" s="105" t="s">
        <v>665</v>
      </c>
      <c r="H343" s="1"/>
      <c r="J343" s="78">
        <v>45635</v>
      </c>
      <c r="K343" s="83">
        <v>46022</v>
      </c>
      <c r="M343" s="8" t="str">
        <f t="shared" si="16"/>
        <v>PEN</v>
      </c>
      <c r="N343" s="10" t="str">
        <f ca="1">IF(K343="","",IF(TODAY()&gt;K343,"SIM","NÃO"))</f>
        <v>NÃO</v>
      </c>
      <c r="P343" s="91" t="s">
        <v>130</v>
      </c>
      <c r="Q343" s="77" t="s">
        <v>82</v>
      </c>
      <c r="R343" s="20" t="s">
        <v>204</v>
      </c>
      <c r="S343" s="1" t="s">
        <v>231</v>
      </c>
      <c r="T343" s="1" t="s">
        <v>231</v>
      </c>
      <c r="U343" s="20" t="s">
        <v>230</v>
      </c>
    </row>
    <row r="344" spans="1:21" ht="38.4" customHeight="1" x14ac:dyDescent="0.3">
      <c r="A344" s="76">
        <v>1592</v>
      </c>
      <c r="B344" s="18" t="s">
        <v>637</v>
      </c>
      <c r="C344" s="110" t="s">
        <v>738</v>
      </c>
      <c r="D344" s="14" t="s">
        <v>738</v>
      </c>
      <c r="E344" s="105" t="s">
        <v>843</v>
      </c>
      <c r="J344" s="78" t="s">
        <v>100</v>
      </c>
      <c r="M344" s="8" t="str">
        <f t="shared" si="16"/>
        <v>PEN</v>
      </c>
      <c r="N344" s="10" t="str">
        <f t="shared" ref="N344:N347" ca="1" si="18">IF(K344="","",IF(TODAY()&gt;K344,"SIM","NÃO"))</f>
        <v/>
      </c>
      <c r="P344" s="91" t="s">
        <v>130</v>
      </c>
      <c r="Q344" s="77" t="s">
        <v>82</v>
      </c>
      <c r="R344" s="20" t="s">
        <v>204</v>
      </c>
      <c r="S344" s="1" t="s">
        <v>230</v>
      </c>
      <c r="T344" s="1" t="s">
        <v>231</v>
      </c>
      <c r="U344" s="20" t="s">
        <v>230</v>
      </c>
    </row>
    <row r="345" spans="1:21" ht="38.4" customHeight="1" x14ac:dyDescent="0.3">
      <c r="A345" s="76">
        <v>346</v>
      </c>
      <c r="B345" s="18" t="s">
        <v>642</v>
      </c>
      <c r="C345" s="88" t="s">
        <v>643</v>
      </c>
      <c r="D345" t="s">
        <v>644</v>
      </c>
      <c r="E345" s="105">
        <v>8725715</v>
      </c>
      <c r="F345" s="20" t="s">
        <v>631</v>
      </c>
      <c r="M345" s="8" t="str">
        <f t="shared" si="16"/>
        <v>REL</v>
      </c>
      <c r="N345" s="10" t="str">
        <f t="shared" ca="1" si="18"/>
        <v/>
      </c>
    </row>
    <row r="346" spans="1:21" ht="38.4" customHeight="1" x14ac:dyDescent="0.3">
      <c r="A346" s="76">
        <v>833</v>
      </c>
      <c r="B346" s="18" t="s">
        <v>645</v>
      </c>
      <c r="C346" s="110" t="s">
        <v>844</v>
      </c>
      <c r="D346" s="14" t="s">
        <v>845</v>
      </c>
      <c r="E346" s="105" t="s">
        <v>846</v>
      </c>
      <c r="F346" s="41" t="s">
        <v>387</v>
      </c>
      <c r="J346" s="78" t="s">
        <v>100</v>
      </c>
      <c r="M346" s="8" t="str">
        <f t="shared" si="16"/>
        <v>CAS</v>
      </c>
      <c r="N346" s="10" t="str">
        <f t="shared" ca="1" si="18"/>
        <v/>
      </c>
      <c r="P346" s="91" t="s">
        <v>113</v>
      </c>
      <c r="Q346" s="77" t="s">
        <v>82</v>
      </c>
      <c r="R346" s="20" t="s">
        <v>204</v>
      </c>
      <c r="S346" s="1" t="s">
        <v>230</v>
      </c>
      <c r="T346" s="1" t="s">
        <v>231</v>
      </c>
      <c r="U346" s="20" t="s">
        <v>230</v>
      </c>
    </row>
    <row r="347" spans="1:21" ht="38.4" customHeight="1" x14ac:dyDescent="0.3">
      <c r="A347" s="76">
        <v>965</v>
      </c>
      <c r="B347" s="18" t="s">
        <v>646</v>
      </c>
      <c r="C347" s="110" t="s">
        <v>847</v>
      </c>
      <c r="D347" s="14" t="s">
        <v>845</v>
      </c>
      <c r="E347" s="105" t="s">
        <v>848</v>
      </c>
      <c r="F347" s="41" t="s">
        <v>387</v>
      </c>
      <c r="J347" s="78" t="s">
        <v>100</v>
      </c>
      <c r="M347" s="8" t="str">
        <f t="shared" si="16"/>
        <v>CAS</v>
      </c>
      <c r="N347" s="10" t="str">
        <f t="shared" ca="1" si="18"/>
        <v/>
      </c>
      <c r="P347" s="91" t="s">
        <v>113</v>
      </c>
      <c r="Q347" s="77" t="s">
        <v>82</v>
      </c>
      <c r="R347" s="20" t="s">
        <v>204</v>
      </c>
      <c r="S347" s="1" t="s">
        <v>230</v>
      </c>
      <c r="T347" s="1" t="s">
        <v>231</v>
      </c>
      <c r="U347" s="20" t="s">
        <v>230</v>
      </c>
    </row>
    <row r="348" spans="1:21" ht="38.4" customHeight="1" x14ac:dyDescent="0.3">
      <c r="A348" s="76">
        <v>536</v>
      </c>
      <c r="B348" s="18" t="s">
        <v>849</v>
      </c>
      <c r="C348" s="112" t="s">
        <v>851</v>
      </c>
      <c r="D348" s="14" t="s">
        <v>852</v>
      </c>
      <c r="E348" s="105" t="s">
        <v>853</v>
      </c>
      <c r="F348" s="41" t="s">
        <v>850</v>
      </c>
      <c r="J348" s="113" t="s">
        <v>100</v>
      </c>
      <c r="M348" s="8" t="str">
        <f t="shared" ref="M348:M362" si="19">LEFT(B348,3)</f>
        <v>DIS</v>
      </c>
      <c r="P348" s="94" t="s">
        <v>130</v>
      </c>
      <c r="Q348" s="81" t="s">
        <v>82</v>
      </c>
      <c r="R348" s="41" t="s">
        <v>204</v>
      </c>
      <c r="S348" s="1" t="s">
        <v>230</v>
      </c>
      <c r="T348" s="1" t="s">
        <v>231</v>
      </c>
      <c r="U348" s="41" t="s">
        <v>230</v>
      </c>
    </row>
    <row r="349" spans="1:21" ht="38.4" customHeight="1" x14ac:dyDescent="0.3">
      <c r="A349" s="76">
        <v>1412</v>
      </c>
      <c r="B349" s="18" t="s">
        <v>632</v>
      </c>
      <c r="C349" s="69">
        <v>1412</v>
      </c>
      <c r="D349" s="14" t="s">
        <v>854</v>
      </c>
      <c r="E349" s="105" t="s">
        <v>855</v>
      </c>
      <c r="F349" s="41" t="s">
        <v>856</v>
      </c>
      <c r="J349" s="113" t="s">
        <v>100</v>
      </c>
      <c r="M349" s="8" t="str">
        <f t="shared" si="19"/>
        <v>DIS</v>
      </c>
      <c r="P349" s="94" t="s">
        <v>130</v>
      </c>
      <c r="Q349" s="81" t="s">
        <v>82</v>
      </c>
      <c r="R349" s="41" t="s">
        <v>204</v>
      </c>
      <c r="S349" s="1" t="s">
        <v>230</v>
      </c>
      <c r="T349" s="1" t="s">
        <v>231</v>
      </c>
      <c r="U349" s="41" t="s">
        <v>230</v>
      </c>
    </row>
    <row r="350" spans="1:21" ht="38.4" customHeight="1" x14ac:dyDescent="0.3">
      <c r="B350" s="18"/>
      <c r="M350" s="8" t="str">
        <f t="shared" si="19"/>
        <v/>
      </c>
    </row>
    <row r="351" spans="1:21" ht="38.4" customHeight="1" x14ac:dyDescent="0.3">
      <c r="B351" s="18"/>
      <c r="M351" s="8" t="str">
        <f t="shared" si="19"/>
        <v/>
      </c>
      <c r="Q351" s="114"/>
    </row>
    <row r="352" spans="1:21" ht="38.4" customHeight="1" x14ac:dyDescent="0.3">
      <c r="B352" s="18"/>
      <c r="M352" s="8" t="str">
        <f t="shared" si="19"/>
        <v/>
      </c>
    </row>
    <row r="353" spans="2:13" ht="38.4" customHeight="1" x14ac:dyDescent="0.3">
      <c r="B353" s="18"/>
      <c r="M353" s="8" t="str">
        <f t="shared" si="19"/>
        <v/>
      </c>
    </row>
    <row r="354" spans="2:13" ht="38.4" customHeight="1" x14ac:dyDescent="0.3">
      <c r="B354" s="18"/>
      <c r="M354" s="8" t="str">
        <f t="shared" si="19"/>
        <v/>
      </c>
    </row>
    <row r="355" spans="2:13" ht="38.4" customHeight="1" x14ac:dyDescent="0.3">
      <c r="B355" s="18"/>
      <c r="M355" s="8" t="str">
        <f t="shared" si="19"/>
        <v/>
      </c>
    </row>
    <row r="356" spans="2:13" ht="38.4" customHeight="1" x14ac:dyDescent="0.3">
      <c r="B356" s="18"/>
      <c r="M356" s="8" t="str">
        <f t="shared" si="19"/>
        <v/>
      </c>
    </row>
    <row r="357" spans="2:13" ht="38.4" customHeight="1" x14ac:dyDescent="0.3">
      <c r="B357" s="18"/>
      <c r="M357" s="8" t="str">
        <f t="shared" si="19"/>
        <v/>
      </c>
    </row>
    <row r="358" spans="2:13" ht="38.4" customHeight="1" x14ac:dyDescent="0.3">
      <c r="B358" s="18"/>
      <c r="M358" s="8" t="str">
        <f t="shared" si="19"/>
        <v/>
      </c>
    </row>
    <row r="359" spans="2:13" ht="38.4" customHeight="1" x14ac:dyDescent="0.3">
      <c r="B359" s="18"/>
      <c r="M359" s="8" t="str">
        <f t="shared" si="19"/>
        <v/>
      </c>
    </row>
    <row r="360" spans="2:13" ht="38.4" customHeight="1" x14ac:dyDescent="0.3">
      <c r="B360" s="18"/>
      <c r="M360" s="8" t="str">
        <f t="shared" si="19"/>
        <v/>
      </c>
    </row>
    <row r="361" spans="2:13" ht="38.4" customHeight="1" x14ac:dyDescent="0.3">
      <c r="B361" s="18"/>
      <c r="M361" s="8" t="str">
        <f t="shared" si="19"/>
        <v/>
      </c>
    </row>
    <row r="362" spans="2:13" ht="38.4" customHeight="1" x14ac:dyDescent="0.3">
      <c r="B362" s="18"/>
      <c r="M362" s="8" t="str">
        <f t="shared" si="19"/>
        <v/>
      </c>
    </row>
    <row r="363" spans="2:13" ht="38.4" customHeight="1" x14ac:dyDescent="0.3">
      <c r="B363" s="18"/>
      <c r="M363" s="8" t="str">
        <f t="shared" ref="M363:M426" si="20">LEFT(B363,3)</f>
        <v/>
      </c>
    </row>
    <row r="364" spans="2:13" ht="38.4" customHeight="1" x14ac:dyDescent="0.3">
      <c r="B364" s="18"/>
      <c r="M364" s="8" t="str">
        <f t="shared" si="20"/>
        <v/>
      </c>
    </row>
    <row r="365" spans="2:13" ht="38.4" customHeight="1" x14ac:dyDescent="0.3">
      <c r="B365" s="18"/>
      <c r="M365" s="8" t="str">
        <f t="shared" si="20"/>
        <v/>
      </c>
    </row>
    <row r="366" spans="2:13" ht="38.4" customHeight="1" x14ac:dyDescent="0.3">
      <c r="B366" s="18"/>
      <c r="M366" s="8" t="str">
        <f t="shared" si="20"/>
        <v/>
      </c>
    </row>
    <row r="367" spans="2:13" ht="38.4" customHeight="1" x14ac:dyDescent="0.3">
      <c r="B367" s="18"/>
      <c r="M367" s="8" t="str">
        <f t="shared" si="20"/>
        <v/>
      </c>
    </row>
    <row r="368" spans="2:13" ht="38.4" customHeight="1" x14ac:dyDescent="0.3">
      <c r="B368" s="18"/>
      <c r="M368" s="8" t="str">
        <f t="shared" si="20"/>
        <v/>
      </c>
    </row>
    <row r="369" spans="2:13" ht="38.4" customHeight="1" x14ac:dyDescent="0.3">
      <c r="B369" s="18"/>
      <c r="M369" s="8" t="str">
        <f t="shared" si="20"/>
        <v/>
      </c>
    </row>
    <row r="370" spans="2:13" ht="38.4" customHeight="1" x14ac:dyDescent="0.3">
      <c r="B370" s="18"/>
      <c r="M370" s="8" t="str">
        <f t="shared" si="20"/>
        <v/>
      </c>
    </row>
    <row r="371" spans="2:13" ht="38.4" customHeight="1" x14ac:dyDescent="0.3">
      <c r="B371" s="18"/>
      <c r="M371" s="8" t="str">
        <f t="shared" si="20"/>
        <v/>
      </c>
    </row>
    <row r="372" spans="2:13" ht="38.4" customHeight="1" x14ac:dyDescent="0.3">
      <c r="B372" s="18"/>
      <c r="M372" s="8" t="str">
        <f t="shared" si="20"/>
        <v/>
      </c>
    </row>
    <row r="373" spans="2:13" ht="38.4" customHeight="1" x14ac:dyDescent="0.3">
      <c r="B373" s="18"/>
      <c r="M373" s="8" t="str">
        <f t="shared" si="20"/>
        <v/>
      </c>
    </row>
    <row r="374" spans="2:13" ht="38.4" customHeight="1" x14ac:dyDescent="0.3">
      <c r="B374" s="18"/>
      <c r="M374" s="8" t="str">
        <f t="shared" si="20"/>
        <v/>
      </c>
    </row>
    <row r="375" spans="2:13" ht="38.4" customHeight="1" x14ac:dyDescent="0.3">
      <c r="B375" s="18"/>
      <c r="M375" s="8" t="str">
        <f t="shared" si="20"/>
        <v/>
      </c>
    </row>
    <row r="376" spans="2:13" ht="38.4" customHeight="1" x14ac:dyDescent="0.3">
      <c r="B376" s="18"/>
      <c r="M376" s="8" t="str">
        <f t="shared" si="20"/>
        <v/>
      </c>
    </row>
    <row r="377" spans="2:13" ht="38.4" customHeight="1" x14ac:dyDescent="0.3">
      <c r="B377" s="18"/>
      <c r="M377" s="8" t="str">
        <f t="shared" si="20"/>
        <v/>
      </c>
    </row>
    <row r="378" spans="2:13" ht="38.4" customHeight="1" x14ac:dyDescent="0.3">
      <c r="B378" s="18"/>
      <c r="M378" s="8" t="str">
        <f t="shared" si="20"/>
        <v/>
      </c>
    </row>
    <row r="379" spans="2:13" ht="38.4" customHeight="1" x14ac:dyDescent="0.3">
      <c r="B379" s="18"/>
      <c r="M379" s="8" t="str">
        <f t="shared" si="20"/>
        <v/>
      </c>
    </row>
    <row r="380" spans="2:13" ht="38.4" customHeight="1" x14ac:dyDescent="0.3">
      <c r="B380" s="18"/>
      <c r="M380" s="8" t="str">
        <f t="shared" si="20"/>
        <v/>
      </c>
    </row>
    <row r="381" spans="2:13" ht="38.4" customHeight="1" x14ac:dyDescent="0.3">
      <c r="B381" s="18"/>
      <c r="M381" s="8" t="str">
        <f t="shared" si="20"/>
        <v/>
      </c>
    </row>
    <row r="382" spans="2:13" ht="38.4" customHeight="1" x14ac:dyDescent="0.3">
      <c r="B382" s="18"/>
      <c r="M382" s="8" t="str">
        <f t="shared" si="20"/>
        <v/>
      </c>
    </row>
    <row r="383" spans="2:13" ht="38.4" customHeight="1" x14ac:dyDescent="0.3">
      <c r="B383" s="18"/>
      <c r="M383" s="8" t="str">
        <f t="shared" si="20"/>
        <v/>
      </c>
    </row>
    <row r="384" spans="2:13" ht="38.4" customHeight="1" x14ac:dyDescent="0.3">
      <c r="B384" s="18"/>
      <c r="M384" s="8" t="str">
        <f t="shared" si="20"/>
        <v/>
      </c>
    </row>
    <row r="385" spans="2:13" ht="38.4" customHeight="1" x14ac:dyDescent="0.3">
      <c r="B385" s="18"/>
      <c r="M385" s="8" t="str">
        <f t="shared" si="20"/>
        <v/>
      </c>
    </row>
    <row r="386" spans="2:13" ht="38.4" customHeight="1" x14ac:dyDescent="0.3">
      <c r="B386" s="18"/>
      <c r="M386" s="8" t="str">
        <f t="shared" si="20"/>
        <v/>
      </c>
    </row>
    <row r="387" spans="2:13" ht="38.4" customHeight="1" x14ac:dyDescent="0.3">
      <c r="B387" s="18"/>
      <c r="M387" s="8" t="str">
        <f t="shared" si="20"/>
        <v/>
      </c>
    </row>
    <row r="388" spans="2:13" ht="38.4" customHeight="1" x14ac:dyDescent="0.3">
      <c r="B388" s="18"/>
      <c r="M388" s="8" t="str">
        <f t="shared" si="20"/>
        <v/>
      </c>
    </row>
    <row r="389" spans="2:13" ht="38.4" customHeight="1" x14ac:dyDescent="0.3">
      <c r="B389" s="18"/>
      <c r="M389" s="8" t="str">
        <f t="shared" si="20"/>
        <v/>
      </c>
    </row>
    <row r="390" spans="2:13" ht="38.4" customHeight="1" x14ac:dyDescent="0.3">
      <c r="B390" s="18"/>
      <c r="M390" s="8" t="str">
        <f t="shared" si="20"/>
        <v/>
      </c>
    </row>
    <row r="391" spans="2:13" ht="38.4" customHeight="1" x14ac:dyDescent="0.3">
      <c r="B391" s="18"/>
      <c r="M391" s="8" t="str">
        <f t="shared" si="20"/>
        <v/>
      </c>
    </row>
    <row r="392" spans="2:13" ht="38.4" customHeight="1" x14ac:dyDescent="0.3">
      <c r="B392" s="18"/>
      <c r="M392" s="8" t="str">
        <f t="shared" si="20"/>
        <v/>
      </c>
    </row>
    <row r="393" spans="2:13" ht="38.4" customHeight="1" x14ac:dyDescent="0.3">
      <c r="B393" s="18"/>
      <c r="M393" s="8" t="str">
        <f t="shared" si="20"/>
        <v/>
      </c>
    </row>
    <row r="394" spans="2:13" ht="38.4" customHeight="1" x14ac:dyDescent="0.3">
      <c r="B394" s="18"/>
      <c r="M394" s="8" t="str">
        <f t="shared" si="20"/>
        <v/>
      </c>
    </row>
    <row r="395" spans="2:13" ht="38.4" customHeight="1" x14ac:dyDescent="0.3">
      <c r="B395" s="18"/>
      <c r="M395" s="8" t="str">
        <f t="shared" si="20"/>
        <v/>
      </c>
    </row>
    <row r="396" spans="2:13" ht="38.4" customHeight="1" x14ac:dyDescent="0.3">
      <c r="B396" s="18"/>
      <c r="M396" s="8" t="str">
        <f t="shared" si="20"/>
        <v/>
      </c>
    </row>
    <row r="397" spans="2:13" ht="38.4" customHeight="1" x14ac:dyDescent="0.3">
      <c r="B397" s="18"/>
      <c r="M397" s="8" t="str">
        <f t="shared" si="20"/>
        <v/>
      </c>
    </row>
    <row r="398" spans="2:13" ht="38.4" customHeight="1" x14ac:dyDescent="0.3">
      <c r="B398" s="18"/>
      <c r="M398" s="8" t="str">
        <f t="shared" si="20"/>
        <v/>
      </c>
    </row>
    <row r="399" spans="2:13" ht="38.4" customHeight="1" x14ac:dyDescent="0.3">
      <c r="B399" s="18"/>
      <c r="M399" s="8" t="str">
        <f t="shared" si="20"/>
        <v/>
      </c>
    </row>
    <row r="400" spans="2:13" ht="38.4" customHeight="1" x14ac:dyDescent="0.3">
      <c r="B400" s="18"/>
      <c r="M400" s="8" t="str">
        <f t="shared" si="20"/>
        <v/>
      </c>
    </row>
    <row r="401" spans="2:13" ht="38.4" customHeight="1" x14ac:dyDescent="0.3">
      <c r="B401" s="18"/>
      <c r="M401" s="8" t="str">
        <f t="shared" si="20"/>
        <v/>
      </c>
    </row>
    <row r="402" spans="2:13" ht="38.4" customHeight="1" x14ac:dyDescent="0.3">
      <c r="B402" s="18"/>
      <c r="M402" s="8" t="str">
        <f t="shared" si="20"/>
        <v/>
      </c>
    </row>
    <row r="403" spans="2:13" ht="38.4" customHeight="1" x14ac:dyDescent="0.3">
      <c r="B403" s="18"/>
      <c r="M403" s="8" t="str">
        <f t="shared" si="20"/>
        <v/>
      </c>
    </row>
    <row r="404" spans="2:13" ht="38.4" customHeight="1" x14ac:dyDescent="0.3">
      <c r="B404" s="18"/>
      <c r="M404" s="8" t="str">
        <f t="shared" si="20"/>
        <v/>
      </c>
    </row>
    <row r="405" spans="2:13" ht="38.4" customHeight="1" x14ac:dyDescent="0.3">
      <c r="B405" s="18"/>
      <c r="M405" s="8" t="str">
        <f t="shared" si="20"/>
        <v/>
      </c>
    </row>
    <row r="406" spans="2:13" ht="38.4" customHeight="1" x14ac:dyDescent="0.3">
      <c r="B406" s="18"/>
      <c r="M406" s="8" t="str">
        <f t="shared" si="20"/>
        <v/>
      </c>
    </row>
    <row r="407" spans="2:13" ht="38.4" customHeight="1" x14ac:dyDescent="0.3">
      <c r="B407" s="18"/>
      <c r="M407" s="8" t="str">
        <f t="shared" si="20"/>
        <v/>
      </c>
    </row>
    <row r="408" spans="2:13" ht="38.4" customHeight="1" x14ac:dyDescent="0.3">
      <c r="B408" s="18"/>
      <c r="M408" s="8" t="str">
        <f t="shared" si="20"/>
        <v/>
      </c>
    </row>
    <row r="409" spans="2:13" ht="38.4" customHeight="1" x14ac:dyDescent="0.3">
      <c r="B409" s="18"/>
      <c r="M409" s="8" t="str">
        <f t="shared" si="20"/>
        <v/>
      </c>
    </row>
    <row r="410" spans="2:13" ht="38.4" customHeight="1" x14ac:dyDescent="0.3">
      <c r="B410" s="18"/>
      <c r="M410" s="8" t="str">
        <f t="shared" si="20"/>
        <v/>
      </c>
    </row>
    <row r="411" spans="2:13" ht="38.4" customHeight="1" x14ac:dyDescent="0.3">
      <c r="B411" s="18"/>
      <c r="M411" s="8" t="str">
        <f t="shared" si="20"/>
        <v/>
      </c>
    </row>
    <row r="412" spans="2:13" ht="38.4" customHeight="1" x14ac:dyDescent="0.3">
      <c r="B412" s="18"/>
      <c r="M412" s="8" t="str">
        <f t="shared" si="20"/>
        <v/>
      </c>
    </row>
    <row r="413" spans="2:13" ht="38.4" customHeight="1" x14ac:dyDescent="0.3">
      <c r="B413" s="18"/>
      <c r="M413" s="8" t="str">
        <f t="shared" si="20"/>
        <v/>
      </c>
    </row>
    <row r="414" spans="2:13" ht="38.4" customHeight="1" x14ac:dyDescent="0.3">
      <c r="B414" s="18"/>
      <c r="M414" s="8" t="str">
        <f t="shared" si="20"/>
        <v/>
      </c>
    </row>
    <row r="415" spans="2:13" ht="38.4" customHeight="1" x14ac:dyDescent="0.3">
      <c r="B415" s="18"/>
      <c r="M415" s="8" t="str">
        <f t="shared" si="20"/>
        <v/>
      </c>
    </row>
    <row r="416" spans="2:13" ht="38.4" customHeight="1" x14ac:dyDescent="0.3">
      <c r="B416" s="18"/>
      <c r="M416" s="8" t="str">
        <f t="shared" si="20"/>
        <v/>
      </c>
    </row>
    <row r="417" spans="2:13" ht="38.4" customHeight="1" x14ac:dyDescent="0.3">
      <c r="B417" s="18"/>
      <c r="M417" s="8" t="str">
        <f t="shared" si="20"/>
        <v/>
      </c>
    </row>
    <row r="418" spans="2:13" ht="38.4" customHeight="1" x14ac:dyDescent="0.3">
      <c r="B418" s="18"/>
      <c r="M418" s="8" t="str">
        <f t="shared" si="20"/>
        <v/>
      </c>
    </row>
    <row r="419" spans="2:13" ht="38.4" customHeight="1" x14ac:dyDescent="0.3">
      <c r="B419" s="18"/>
      <c r="M419" s="8" t="str">
        <f t="shared" si="20"/>
        <v/>
      </c>
    </row>
    <row r="420" spans="2:13" ht="38.4" customHeight="1" x14ac:dyDescent="0.3">
      <c r="B420" s="18"/>
      <c r="M420" s="8" t="str">
        <f t="shared" si="20"/>
        <v/>
      </c>
    </row>
    <row r="421" spans="2:13" ht="38.4" customHeight="1" x14ac:dyDescent="0.3">
      <c r="B421" s="18"/>
      <c r="M421" s="8" t="str">
        <f t="shared" si="20"/>
        <v/>
      </c>
    </row>
    <row r="422" spans="2:13" ht="38.4" customHeight="1" x14ac:dyDescent="0.3">
      <c r="B422" s="18"/>
      <c r="M422" s="8" t="str">
        <f t="shared" si="20"/>
        <v/>
      </c>
    </row>
    <row r="423" spans="2:13" ht="38.4" customHeight="1" x14ac:dyDescent="0.3">
      <c r="B423" s="18"/>
      <c r="M423" s="8" t="str">
        <f t="shared" si="20"/>
        <v/>
      </c>
    </row>
    <row r="424" spans="2:13" ht="38.4" customHeight="1" x14ac:dyDescent="0.3">
      <c r="B424" s="18"/>
      <c r="M424" s="8" t="str">
        <f t="shared" si="20"/>
        <v/>
      </c>
    </row>
    <row r="425" spans="2:13" ht="38.4" customHeight="1" x14ac:dyDescent="0.3">
      <c r="B425" s="18"/>
      <c r="M425" s="8" t="str">
        <f t="shared" si="20"/>
        <v/>
      </c>
    </row>
    <row r="426" spans="2:13" ht="38.4" customHeight="1" x14ac:dyDescent="0.3">
      <c r="B426" s="18"/>
      <c r="M426" s="8" t="str">
        <f t="shared" si="20"/>
        <v/>
      </c>
    </row>
    <row r="427" spans="2:13" ht="38.4" customHeight="1" x14ac:dyDescent="0.3">
      <c r="B427" s="18"/>
      <c r="M427" s="8" t="str">
        <f t="shared" ref="M427:M490" si="21">LEFT(B427,3)</f>
        <v/>
      </c>
    </row>
    <row r="428" spans="2:13" ht="38.4" customHeight="1" x14ac:dyDescent="0.3">
      <c r="B428" s="18"/>
      <c r="M428" s="8" t="str">
        <f t="shared" si="21"/>
        <v/>
      </c>
    </row>
    <row r="429" spans="2:13" ht="38.4" customHeight="1" x14ac:dyDescent="0.3">
      <c r="B429" s="18"/>
      <c r="M429" s="8" t="str">
        <f t="shared" si="21"/>
        <v/>
      </c>
    </row>
    <row r="430" spans="2:13" ht="38.4" customHeight="1" x14ac:dyDescent="0.3">
      <c r="B430" s="18"/>
      <c r="M430" s="8" t="str">
        <f t="shared" si="21"/>
        <v/>
      </c>
    </row>
    <row r="431" spans="2:13" ht="38.4" customHeight="1" x14ac:dyDescent="0.3">
      <c r="B431" s="18"/>
      <c r="M431" s="8" t="str">
        <f t="shared" si="21"/>
        <v/>
      </c>
    </row>
    <row r="432" spans="2:13" ht="38.4" customHeight="1" x14ac:dyDescent="0.3">
      <c r="B432" s="18"/>
      <c r="M432" s="8" t="str">
        <f t="shared" si="21"/>
        <v/>
      </c>
    </row>
    <row r="433" spans="2:13" ht="38.4" customHeight="1" x14ac:dyDescent="0.3">
      <c r="B433" s="18"/>
      <c r="M433" s="8" t="str">
        <f t="shared" si="21"/>
        <v/>
      </c>
    </row>
    <row r="434" spans="2:13" ht="38.4" customHeight="1" x14ac:dyDescent="0.3">
      <c r="B434" s="18"/>
      <c r="M434" s="8" t="str">
        <f t="shared" si="21"/>
        <v/>
      </c>
    </row>
    <row r="435" spans="2:13" ht="38.4" customHeight="1" x14ac:dyDescent="0.3">
      <c r="B435" s="18"/>
      <c r="M435" s="8" t="str">
        <f t="shared" si="21"/>
        <v/>
      </c>
    </row>
    <row r="436" spans="2:13" ht="38.4" customHeight="1" x14ac:dyDescent="0.3">
      <c r="B436" s="18"/>
      <c r="M436" s="8" t="str">
        <f t="shared" si="21"/>
        <v/>
      </c>
    </row>
    <row r="437" spans="2:13" ht="38.4" customHeight="1" x14ac:dyDescent="0.3">
      <c r="B437" s="18"/>
      <c r="M437" s="8" t="str">
        <f t="shared" si="21"/>
        <v/>
      </c>
    </row>
    <row r="438" spans="2:13" ht="38.4" customHeight="1" x14ac:dyDescent="0.3">
      <c r="B438" s="18"/>
      <c r="M438" s="8" t="str">
        <f t="shared" si="21"/>
        <v/>
      </c>
    </row>
    <row r="439" spans="2:13" ht="38.4" customHeight="1" x14ac:dyDescent="0.3">
      <c r="B439" s="18"/>
      <c r="M439" s="8" t="str">
        <f t="shared" si="21"/>
        <v/>
      </c>
    </row>
    <row r="440" spans="2:13" ht="38.4" customHeight="1" x14ac:dyDescent="0.3">
      <c r="B440" s="18"/>
      <c r="M440" s="8" t="str">
        <f t="shared" si="21"/>
        <v/>
      </c>
    </row>
    <row r="441" spans="2:13" ht="38.4" customHeight="1" x14ac:dyDescent="0.3">
      <c r="B441" s="18"/>
      <c r="M441" s="8" t="str">
        <f t="shared" si="21"/>
        <v/>
      </c>
    </row>
    <row r="442" spans="2:13" ht="38.4" customHeight="1" x14ac:dyDescent="0.3">
      <c r="B442" s="18"/>
      <c r="M442" s="8" t="str">
        <f t="shared" si="21"/>
        <v/>
      </c>
    </row>
    <row r="443" spans="2:13" ht="38.4" customHeight="1" x14ac:dyDescent="0.3">
      <c r="B443" s="18"/>
      <c r="M443" s="8" t="str">
        <f t="shared" si="21"/>
        <v/>
      </c>
    </row>
    <row r="444" spans="2:13" ht="38.4" customHeight="1" x14ac:dyDescent="0.3">
      <c r="B444" s="18"/>
      <c r="M444" s="8" t="str">
        <f t="shared" si="21"/>
        <v/>
      </c>
    </row>
    <row r="445" spans="2:13" ht="38.4" customHeight="1" x14ac:dyDescent="0.3">
      <c r="B445" s="18"/>
      <c r="M445" s="8" t="str">
        <f t="shared" si="21"/>
        <v/>
      </c>
    </row>
    <row r="446" spans="2:13" ht="38.4" customHeight="1" x14ac:dyDescent="0.3">
      <c r="B446" s="18"/>
      <c r="M446" s="8" t="str">
        <f t="shared" si="21"/>
        <v/>
      </c>
    </row>
    <row r="447" spans="2:13" ht="38.4" customHeight="1" x14ac:dyDescent="0.3">
      <c r="B447" s="18"/>
      <c r="M447" s="8" t="str">
        <f t="shared" si="21"/>
        <v/>
      </c>
    </row>
    <row r="448" spans="2:13" ht="38.4" customHeight="1" x14ac:dyDescent="0.3">
      <c r="B448" s="18"/>
      <c r="M448" s="8" t="str">
        <f t="shared" si="21"/>
        <v/>
      </c>
    </row>
    <row r="449" spans="2:13" ht="38.4" customHeight="1" x14ac:dyDescent="0.3">
      <c r="B449" s="18"/>
      <c r="M449" s="8" t="str">
        <f t="shared" si="21"/>
        <v/>
      </c>
    </row>
    <row r="450" spans="2:13" ht="38.4" customHeight="1" x14ac:dyDescent="0.3">
      <c r="B450" s="18"/>
      <c r="M450" s="8" t="str">
        <f t="shared" si="21"/>
        <v/>
      </c>
    </row>
    <row r="451" spans="2:13" ht="38.4" customHeight="1" x14ac:dyDescent="0.3">
      <c r="B451" s="18"/>
      <c r="M451" s="8" t="str">
        <f t="shared" si="21"/>
        <v/>
      </c>
    </row>
    <row r="452" spans="2:13" ht="38.4" customHeight="1" x14ac:dyDescent="0.3">
      <c r="B452" s="18"/>
      <c r="M452" s="8" t="str">
        <f t="shared" si="21"/>
        <v/>
      </c>
    </row>
    <row r="453" spans="2:13" ht="38.4" customHeight="1" x14ac:dyDescent="0.3">
      <c r="B453" s="18"/>
      <c r="M453" s="8" t="str">
        <f t="shared" si="21"/>
        <v/>
      </c>
    </row>
    <row r="454" spans="2:13" ht="38.4" customHeight="1" x14ac:dyDescent="0.3">
      <c r="B454" s="18"/>
      <c r="M454" s="8" t="str">
        <f t="shared" si="21"/>
        <v/>
      </c>
    </row>
    <row r="455" spans="2:13" ht="38.4" customHeight="1" x14ac:dyDescent="0.3">
      <c r="B455" s="18"/>
      <c r="M455" s="8" t="str">
        <f t="shared" si="21"/>
        <v/>
      </c>
    </row>
    <row r="456" spans="2:13" ht="38.4" customHeight="1" x14ac:dyDescent="0.3">
      <c r="B456" s="18"/>
      <c r="M456" s="8" t="str">
        <f t="shared" si="21"/>
        <v/>
      </c>
    </row>
    <row r="457" spans="2:13" ht="38.4" customHeight="1" x14ac:dyDescent="0.3">
      <c r="B457" s="18"/>
      <c r="M457" s="8" t="str">
        <f t="shared" si="21"/>
        <v/>
      </c>
    </row>
    <row r="458" spans="2:13" ht="38.4" customHeight="1" x14ac:dyDescent="0.3">
      <c r="B458" s="18"/>
      <c r="M458" s="8" t="str">
        <f t="shared" si="21"/>
        <v/>
      </c>
    </row>
    <row r="459" spans="2:13" ht="38.4" customHeight="1" x14ac:dyDescent="0.3">
      <c r="B459" s="18"/>
      <c r="M459" s="8" t="str">
        <f t="shared" si="21"/>
        <v/>
      </c>
    </row>
    <row r="460" spans="2:13" ht="38.4" customHeight="1" x14ac:dyDescent="0.3">
      <c r="B460" s="18"/>
      <c r="M460" s="8" t="str">
        <f t="shared" si="21"/>
        <v/>
      </c>
    </row>
    <row r="461" spans="2:13" ht="38.4" customHeight="1" x14ac:dyDescent="0.3">
      <c r="B461" s="18"/>
      <c r="M461" s="8" t="str">
        <f t="shared" si="21"/>
        <v/>
      </c>
    </row>
    <row r="462" spans="2:13" ht="38.4" customHeight="1" x14ac:dyDescent="0.3">
      <c r="B462" s="18"/>
      <c r="M462" s="8" t="str">
        <f t="shared" si="21"/>
        <v/>
      </c>
    </row>
    <row r="463" spans="2:13" ht="38.4" customHeight="1" x14ac:dyDescent="0.3">
      <c r="B463" s="18"/>
      <c r="M463" s="8" t="str">
        <f t="shared" si="21"/>
        <v/>
      </c>
    </row>
    <row r="464" spans="2:13" ht="38.4" customHeight="1" x14ac:dyDescent="0.3">
      <c r="B464" s="18"/>
      <c r="M464" s="8" t="str">
        <f t="shared" si="21"/>
        <v/>
      </c>
    </row>
    <row r="465" spans="2:13" ht="38.4" customHeight="1" x14ac:dyDescent="0.3">
      <c r="B465" s="18"/>
      <c r="M465" s="8" t="str">
        <f t="shared" si="21"/>
        <v/>
      </c>
    </row>
    <row r="466" spans="2:13" ht="38.4" customHeight="1" x14ac:dyDescent="0.3">
      <c r="B466" s="18"/>
      <c r="M466" s="8" t="str">
        <f t="shared" si="21"/>
        <v/>
      </c>
    </row>
    <row r="467" spans="2:13" ht="38.4" customHeight="1" x14ac:dyDescent="0.3">
      <c r="B467" s="18"/>
      <c r="M467" s="8" t="str">
        <f t="shared" si="21"/>
        <v/>
      </c>
    </row>
    <row r="468" spans="2:13" ht="38.4" customHeight="1" x14ac:dyDescent="0.3">
      <c r="B468" s="18"/>
      <c r="M468" s="8" t="str">
        <f t="shared" si="21"/>
        <v/>
      </c>
    </row>
    <row r="469" spans="2:13" ht="38.4" customHeight="1" x14ac:dyDescent="0.3">
      <c r="B469" s="18"/>
      <c r="M469" s="8" t="str">
        <f t="shared" si="21"/>
        <v/>
      </c>
    </row>
    <row r="470" spans="2:13" ht="38.4" customHeight="1" x14ac:dyDescent="0.3">
      <c r="B470" s="18"/>
      <c r="M470" s="8" t="str">
        <f t="shared" si="21"/>
        <v/>
      </c>
    </row>
    <row r="471" spans="2:13" ht="38.4" customHeight="1" x14ac:dyDescent="0.3">
      <c r="B471" s="18"/>
      <c r="M471" s="8" t="str">
        <f t="shared" si="21"/>
        <v/>
      </c>
    </row>
    <row r="472" spans="2:13" ht="38.4" customHeight="1" x14ac:dyDescent="0.3">
      <c r="B472" s="18"/>
      <c r="M472" s="8" t="str">
        <f t="shared" si="21"/>
        <v/>
      </c>
    </row>
    <row r="473" spans="2:13" ht="38.4" customHeight="1" x14ac:dyDescent="0.3">
      <c r="B473" s="18"/>
      <c r="M473" s="8" t="str">
        <f t="shared" si="21"/>
        <v/>
      </c>
    </row>
    <row r="474" spans="2:13" ht="38.4" customHeight="1" x14ac:dyDescent="0.3">
      <c r="B474" s="18"/>
      <c r="M474" s="8" t="str">
        <f t="shared" si="21"/>
        <v/>
      </c>
    </row>
    <row r="475" spans="2:13" ht="38.4" customHeight="1" x14ac:dyDescent="0.3">
      <c r="B475" s="18"/>
      <c r="M475" s="8" t="str">
        <f t="shared" si="21"/>
        <v/>
      </c>
    </row>
    <row r="476" spans="2:13" ht="38.4" customHeight="1" x14ac:dyDescent="0.3">
      <c r="B476" s="18"/>
      <c r="M476" s="8" t="str">
        <f t="shared" si="21"/>
        <v/>
      </c>
    </row>
    <row r="477" spans="2:13" ht="38.4" customHeight="1" x14ac:dyDescent="0.3">
      <c r="B477" s="18"/>
      <c r="M477" s="8" t="str">
        <f t="shared" si="21"/>
        <v/>
      </c>
    </row>
    <row r="478" spans="2:13" ht="38.4" customHeight="1" x14ac:dyDescent="0.3">
      <c r="B478" s="18"/>
      <c r="M478" s="8" t="str">
        <f t="shared" si="21"/>
        <v/>
      </c>
    </row>
    <row r="479" spans="2:13" ht="38.4" customHeight="1" x14ac:dyDescent="0.3">
      <c r="B479" s="18"/>
      <c r="M479" s="8" t="str">
        <f t="shared" si="21"/>
        <v/>
      </c>
    </row>
    <row r="480" spans="2:13" ht="38.4" customHeight="1" x14ac:dyDescent="0.3">
      <c r="B480" s="18"/>
      <c r="M480" s="8" t="str">
        <f t="shared" si="21"/>
        <v/>
      </c>
    </row>
    <row r="481" spans="2:13" ht="38.4" customHeight="1" x14ac:dyDescent="0.3">
      <c r="B481" s="18"/>
      <c r="M481" s="8" t="str">
        <f t="shared" si="21"/>
        <v/>
      </c>
    </row>
    <row r="482" spans="2:13" ht="38.4" customHeight="1" x14ac:dyDescent="0.3">
      <c r="B482" s="18"/>
      <c r="M482" s="8" t="str">
        <f t="shared" si="21"/>
        <v/>
      </c>
    </row>
    <row r="483" spans="2:13" ht="38.4" customHeight="1" x14ac:dyDescent="0.3">
      <c r="B483" s="18"/>
      <c r="M483" s="8" t="str">
        <f t="shared" si="21"/>
        <v/>
      </c>
    </row>
    <row r="484" spans="2:13" ht="38.4" customHeight="1" x14ac:dyDescent="0.3">
      <c r="B484" s="18"/>
      <c r="M484" s="8" t="str">
        <f t="shared" si="21"/>
        <v/>
      </c>
    </row>
    <row r="485" spans="2:13" ht="38.4" customHeight="1" x14ac:dyDescent="0.3">
      <c r="B485" s="18"/>
      <c r="M485" s="8" t="str">
        <f t="shared" si="21"/>
        <v/>
      </c>
    </row>
    <row r="486" spans="2:13" ht="38.4" customHeight="1" x14ac:dyDescent="0.3">
      <c r="B486" s="18"/>
      <c r="M486" s="8" t="str">
        <f t="shared" si="21"/>
        <v/>
      </c>
    </row>
    <row r="487" spans="2:13" ht="38.4" customHeight="1" x14ac:dyDescent="0.3">
      <c r="B487" s="18"/>
      <c r="M487" s="8" t="str">
        <f t="shared" si="21"/>
        <v/>
      </c>
    </row>
    <row r="488" spans="2:13" ht="38.4" customHeight="1" x14ac:dyDescent="0.3">
      <c r="B488" s="18"/>
      <c r="M488" s="8" t="str">
        <f t="shared" si="21"/>
        <v/>
      </c>
    </row>
    <row r="489" spans="2:13" ht="38.4" customHeight="1" x14ac:dyDescent="0.3">
      <c r="B489" s="18"/>
      <c r="M489" s="8" t="str">
        <f t="shared" si="21"/>
        <v/>
      </c>
    </row>
    <row r="490" spans="2:13" ht="38.4" customHeight="1" x14ac:dyDescent="0.3">
      <c r="B490" s="18"/>
      <c r="M490" s="8" t="str">
        <f t="shared" si="21"/>
        <v/>
      </c>
    </row>
    <row r="491" spans="2:13" ht="38.4" customHeight="1" x14ac:dyDescent="0.3">
      <c r="B491" s="18"/>
      <c r="M491" s="8" t="str">
        <f t="shared" ref="M491:M495" si="22">LEFT(B491,3)</f>
        <v/>
      </c>
    </row>
    <row r="492" spans="2:13" ht="38.4" customHeight="1" x14ac:dyDescent="0.3">
      <c r="B492" s="18"/>
      <c r="M492" s="8" t="str">
        <f t="shared" si="22"/>
        <v/>
      </c>
    </row>
    <row r="493" spans="2:13" ht="38.4" customHeight="1" x14ac:dyDescent="0.3">
      <c r="B493" s="18"/>
      <c r="M493" s="8" t="str">
        <f t="shared" si="22"/>
        <v/>
      </c>
    </row>
    <row r="494" spans="2:13" ht="38.4" customHeight="1" x14ac:dyDescent="0.3">
      <c r="B494" s="18"/>
      <c r="M494" s="8" t="str">
        <f t="shared" si="22"/>
        <v/>
      </c>
    </row>
    <row r="495" spans="2:13" ht="38.4" customHeight="1" x14ac:dyDescent="0.3">
      <c r="B495" s="18"/>
      <c r="M495" s="8" t="str">
        <f t="shared" si="22"/>
        <v/>
      </c>
    </row>
    <row r="499" spans="11:11" ht="38.4" customHeight="1" x14ac:dyDescent="0.3">
      <c r="K499" s="111"/>
    </row>
  </sheetData>
  <autoFilter ref="A1:V497" xr:uid="{00000000-0001-0000-0000-000000000000}"/>
  <phoneticPr fontId="16" type="noConversion"/>
  <conditionalFormatting sqref="B2:B495 B498:B1048576">
    <cfRule type="expression" dxfId="56" priority="3">
      <formula>$N2="SIM"</formula>
    </cfRule>
    <cfRule type="expression" dxfId="55" priority="4">
      <formula>$N2="NÃO"</formula>
    </cfRule>
  </conditionalFormatting>
  <conditionalFormatting sqref="J1:J495 L1:L495 J498:J1048576 L498:L1048576">
    <cfRule type="containsText" dxfId="54" priority="33" operator="containsText" text="Null">
      <formula>NOT(ISERROR(SEARCH("Null",J1)))</formula>
    </cfRule>
  </conditionalFormatting>
  <conditionalFormatting sqref="K1:K284">
    <cfRule type="containsText" dxfId="53" priority="56" operator="containsText" text="FORA DE USO">
      <formula>NOT(ISERROR(SEARCH(("FORA DE USO"),(K1))))</formula>
    </cfRule>
  </conditionalFormatting>
  <conditionalFormatting sqref="N1:N495 N498:N1048576">
    <cfRule type="containsText" dxfId="52" priority="24" operator="containsText" text="SIM">
      <formula>NOT(ISERROR(SEARCH("SIM",N1)))</formula>
    </cfRule>
    <cfRule type="containsText" dxfId="51" priority="25" operator="containsText" text="NÃO">
      <formula>NOT(ISERROR(SEARCH("NÃO",N1)))</formula>
    </cfRule>
  </conditionalFormatting>
  <conditionalFormatting sqref="N2:N347">
    <cfRule type="cellIs" dxfId="50" priority="58" operator="equal">
      <formula>"SIM"</formula>
    </cfRule>
    <cfRule type="cellIs" dxfId="49" priority="71" operator="equal">
      <formula>"NÃO"</formula>
    </cfRule>
  </conditionalFormatting>
  <conditionalFormatting sqref="P1 P119:P495 P498:P1048576">
    <cfRule type="containsText" dxfId="48" priority="40" operator="containsText" text="EE1">
      <formula>NOT(ISERROR(SEARCH("EE1",P1)))</formula>
    </cfRule>
    <cfRule type="containsText" dxfId="47" priority="39" operator="containsText" text="EE2">
      <formula>NOT(ISERROR(SEARCH("EE2",P1)))</formula>
    </cfRule>
    <cfRule type="containsText" dxfId="46" priority="38" operator="containsText" text="SED">
      <formula>NOT(ISERROR(SEARCH("SED",P1)))</formula>
    </cfRule>
    <cfRule type="containsText" dxfId="45" priority="37" operator="containsText" text="PRE">
      <formula>NOT(ISERROR(SEARCH("PRE",P1)))</formula>
    </cfRule>
    <cfRule type="containsText" dxfId="44" priority="36" operator="containsText" text="DOS">
      <formula>NOT(ISERROR(SEARCH("DOS",P1)))</formula>
    </cfRule>
    <cfRule type="containsText" dxfId="43" priority="35" operator="containsText" text="COM">
      <formula>NOT(ISERROR(SEARCH("COM",P1)))</formula>
    </cfRule>
    <cfRule type="containsText" dxfId="42" priority="34" operator="containsText" text="?">
      <formula>NOT(ISERROR(SEARCH("?",P1)))</formula>
    </cfRule>
  </conditionalFormatting>
  <conditionalFormatting sqref="P1:P495 P498:P1048576">
    <cfRule type="containsText" dxfId="41" priority="30" operator="containsText" text="EE2">
      <formula>NOT(ISERROR(SEARCH("EE2",P1)))</formula>
    </cfRule>
    <cfRule type="containsText" dxfId="40" priority="5" operator="containsText" text="EST">
      <formula>NOT(ISERROR(SEARCH("EST",P1)))</formula>
    </cfRule>
    <cfRule type="containsText" dxfId="39" priority="31" operator="containsText" text="EE1">
      <formula>NOT(ISERROR(SEARCH("EE1",P1)))</formula>
    </cfRule>
    <cfRule type="containsText" dxfId="38" priority="26" operator="containsText" text="COM">
      <formula>NOT(ISERROR(SEARCH("COM",P1)))</formula>
    </cfRule>
    <cfRule type="containsText" dxfId="37" priority="27" operator="containsText" text="DOS">
      <formula>NOT(ISERROR(SEARCH("DOS",P1)))</formula>
    </cfRule>
    <cfRule type="containsText" dxfId="36" priority="28" operator="containsText" text="PRE">
      <formula>NOT(ISERROR(SEARCH("PRE",P1)))</formula>
    </cfRule>
    <cfRule type="containsText" dxfId="35" priority="29" operator="containsText" text="SED">
      <formula>NOT(ISERROR(SEARCH("SED",P1)))</formula>
    </cfRule>
  </conditionalFormatting>
  <conditionalFormatting sqref="P498:P1048576 P1 P119:P495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F7128"/>
        <color rgb="FFFFEB84"/>
        <color rgb="FFFFEF9C"/>
      </colorScale>
    </cfRule>
  </conditionalFormatting>
  <conditionalFormatting sqref="Q1:Q495 Q498:Q1048576">
    <cfRule type="beginsWith" dxfId="34" priority="43" operator="beginsWith" text="?">
      <formula>LEFT(Q1,LEN("?"))="?"</formula>
    </cfRule>
    <cfRule type="containsText" dxfId="33" priority="44" operator="containsText" text="N">
      <formula>NOT(ISERROR(SEARCH("N",Q1)))</formula>
    </cfRule>
    <cfRule type="containsText" dxfId="32" priority="45" operator="containsText" text="S">
      <formula>NOT(ISERROR(SEARCH("S",Q1)))</formula>
    </cfRule>
  </conditionalFormatting>
  <conditionalFormatting sqref="R1:R495 R498:R1048576 A1:A495 A498:A1048576">
    <cfRule type="containsBlanks" dxfId="31" priority="48">
      <formula>LEN(TRIM(A1))=0</formula>
    </cfRule>
  </conditionalFormatting>
  <conditionalFormatting sqref="R1:R495 R498:R1048576">
    <cfRule type="containsText" dxfId="30" priority="10" operator="containsText" text="OK">
      <formula>NOT(ISERROR(SEARCH("OK",R1)))</formula>
    </cfRule>
    <cfRule type="containsText" dxfId="29" priority="22" operator="containsText" text="Pendente">
      <formula>NOT(ISERROR(SEARCH("Pendente",R1)))</formula>
    </cfRule>
  </conditionalFormatting>
  <conditionalFormatting sqref="S1:U1 S2:S495 S498:S1048576">
    <cfRule type="containsText" dxfId="28" priority="15" operator="containsText" text="NÃO">
      <formula>NOT(ISERROR(SEARCH("NÃO",S1)))</formula>
    </cfRule>
    <cfRule type="containsText" dxfId="27" priority="16" operator="containsText" text="SIM">
      <formula>NOT(ISERROR(SEARCH("SIM",S1)))</formula>
    </cfRule>
  </conditionalFormatting>
  <conditionalFormatting sqref="T1:U1">
    <cfRule type="containsText" dxfId="26" priority="18" operator="containsText" text="SIM">
      <formula>NOT(ISERROR(SEARCH("SIM",T1)))</formula>
    </cfRule>
    <cfRule type="containsText" dxfId="25" priority="17" operator="containsText" text="NÃO">
      <formula>NOT(ISERROR(SEARCH("NÃO",T1)))</formula>
    </cfRule>
  </conditionalFormatting>
  <conditionalFormatting sqref="T2:U495 T498:U1048576">
    <cfRule type="containsText" dxfId="24" priority="2" operator="containsText" text="SIM">
      <formula>NOT(ISERROR(SEARCH("SIM",T2)))</formula>
    </cfRule>
    <cfRule type="containsText" dxfId="23" priority="1" operator="containsText" text="NÃO">
      <formula>NOT(ISERROR(SEARCH("NÃO",T2)))</formula>
    </cfRule>
  </conditionalFormatting>
  <conditionalFormatting sqref="U1">
    <cfRule type="containsText" dxfId="22" priority="14" operator="containsText" text="SIM">
      <formula>NOT(ISERROR(SEARCH("SIM",U1)))</formula>
    </cfRule>
    <cfRule type="containsText" dxfId="21" priority="13" operator="containsText" text="NÃO">
      <formula>NOT(ISERROR(SEARCH("NÃO",U1)))</formula>
    </cfRule>
  </conditionalFormatting>
  <pageMargins left="0.511811024" right="0.511811024" top="0.78740157480314954" bottom="0.78740157499999996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855F-B22E-469F-9A0F-C6A2885D6A4C}">
  <dimension ref="A1:E31"/>
  <sheetViews>
    <sheetView topLeftCell="A10" workbookViewId="0">
      <selection activeCell="E30" sqref="E30"/>
    </sheetView>
  </sheetViews>
  <sheetFormatPr defaultRowHeight="22.2" customHeight="1" x14ac:dyDescent="0.25"/>
  <cols>
    <col min="1" max="1" width="12.796875" style="61" customWidth="1"/>
    <col min="2" max="2" width="10.796875" style="20" customWidth="1"/>
    <col min="3" max="3" width="14.09765625" style="20" customWidth="1"/>
    <col min="4" max="4" width="11.5" style="20" customWidth="1"/>
    <col min="5" max="16384" width="8.796875" style="20"/>
  </cols>
  <sheetData>
    <row r="1" spans="1:5" ht="22.2" customHeight="1" x14ac:dyDescent="0.25">
      <c r="A1" s="60" t="s">
        <v>1</v>
      </c>
      <c r="B1" s="41" t="s">
        <v>260</v>
      </c>
      <c r="C1" s="41" t="s">
        <v>261</v>
      </c>
      <c r="D1" s="41" t="s">
        <v>278</v>
      </c>
    </row>
    <row r="2" spans="1:5" ht="22.2" customHeight="1" x14ac:dyDescent="0.25">
      <c r="A2" s="60" t="s">
        <v>256</v>
      </c>
      <c r="B2" s="41" t="s">
        <v>82</v>
      </c>
      <c r="C2" s="41" t="s">
        <v>82</v>
      </c>
      <c r="E2" s="41" t="s">
        <v>281</v>
      </c>
    </row>
    <row r="3" spans="1:5" ht="22.2" customHeight="1" x14ac:dyDescent="0.25">
      <c r="A3" s="60" t="s">
        <v>255</v>
      </c>
      <c r="B3" s="41" t="s">
        <v>82</v>
      </c>
      <c r="C3" s="41" t="s">
        <v>82</v>
      </c>
      <c r="E3" s="41" t="s">
        <v>281</v>
      </c>
    </row>
    <row r="4" spans="1:5" ht="22.2" customHeight="1" x14ac:dyDescent="0.25">
      <c r="A4" s="60" t="s">
        <v>250</v>
      </c>
      <c r="B4" s="41" t="s">
        <v>82</v>
      </c>
      <c r="C4" s="41" t="s">
        <v>82</v>
      </c>
      <c r="E4" s="41" t="s">
        <v>281</v>
      </c>
    </row>
    <row r="5" spans="1:5" ht="22.2" customHeight="1" x14ac:dyDescent="0.25">
      <c r="A5" s="60" t="s">
        <v>277</v>
      </c>
      <c r="B5" s="41" t="s">
        <v>82</v>
      </c>
      <c r="C5" s="41" t="s">
        <v>83</v>
      </c>
      <c r="E5" s="41" t="s">
        <v>281</v>
      </c>
    </row>
    <row r="6" spans="1:5" ht="22.2" customHeight="1" x14ac:dyDescent="0.25">
      <c r="A6" s="60" t="s">
        <v>251</v>
      </c>
      <c r="B6" s="41" t="s">
        <v>82</v>
      </c>
      <c r="C6" s="41" t="s">
        <v>82</v>
      </c>
      <c r="E6" s="41" t="s">
        <v>281</v>
      </c>
    </row>
    <row r="7" spans="1:5" ht="22.2" customHeight="1" x14ac:dyDescent="0.25">
      <c r="A7" s="60" t="s">
        <v>252</v>
      </c>
      <c r="B7" s="41" t="s">
        <v>82</v>
      </c>
      <c r="C7" s="41" t="s">
        <v>82</v>
      </c>
      <c r="E7" s="41" t="s">
        <v>281</v>
      </c>
    </row>
    <row r="8" spans="1:5" ht="22.2" customHeight="1" x14ac:dyDescent="0.25">
      <c r="A8" s="60" t="s">
        <v>248</v>
      </c>
      <c r="B8" s="41" t="s">
        <v>82</v>
      </c>
      <c r="C8" s="41" t="s">
        <v>82</v>
      </c>
      <c r="E8" s="41" t="s">
        <v>281</v>
      </c>
    </row>
    <row r="9" spans="1:5" ht="22.2" customHeight="1" x14ac:dyDescent="0.25">
      <c r="A9" s="60" t="s">
        <v>274</v>
      </c>
      <c r="B9" s="41" t="s">
        <v>82</v>
      </c>
      <c r="C9" s="41" t="s">
        <v>83</v>
      </c>
      <c r="E9" s="41" t="s">
        <v>281</v>
      </c>
    </row>
    <row r="10" spans="1:5" ht="22.2" customHeight="1" x14ac:dyDescent="0.25">
      <c r="A10" s="60" t="s">
        <v>275</v>
      </c>
      <c r="B10" s="41" t="s">
        <v>82</v>
      </c>
      <c r="C10" s="41" t="s">
        <v>83</v>
      </c>
      <c r="E10" s="41" t="s">
        <v>281</v>
      </c>
    </row>
    <row r="11" spans="1:5" ht="22.2" customHeight="1" x14ac:dyDescent="0.25">
      <c r="A11" s="60" t="s">
        <v>247</v>
      </c>
      <c r="B11" s="41" t="s">
        <v>82</v>
      </c>
      <c r="C11" s="41" t="s">
        <v>82</v>
      </c>
      <c r="E11" s="41" t="s">
        <v>281</v>
      </c>
    </row>
    <row r="12" spans="1:5" ht="22.2" customHeight="1" x14ac:dyDescent="0.25">
      <c r="A12" s="60" t="s">
        <v>272</v>
      </c>
      <c r="B12" s="41" t="s">
        <v>82</v>
      </c>
      <c r="C12" s="41" t="s">
        <v>273</v>
      </c>
      <c r="E12" s="41" t="s">
        <v>281</v>
      </c>
    </row>
    <row r="13" spans="1:5" ht="22.2" customHeight="1" x14ac:dyDescent="0.25">
      <c r="A13" s="60" t="s">
        <v>249</v>
      </c>
      <c r="B13" s="41" t="s">
        <v>82</v>
      </c>
      <c r="C13" s="41" t="s">
        <v>82</v>
      </c>
      <c r="E13" s="41" t="s">
        <v>281</v>
      </c>
    </row>
    <row r="14" spans="1:5" ht="22.2" customHeight="1" x14ac:dyDescent="0.25">
      <c r="A14" s="60" t="s">
        <v>257</v>
      </c>
      <c r="B14" s="41" t="s">
        <v>82</v>
      </c>
      <c r="C14" s="41" t="s">
        <v>82</v>
      </c>
      <c r="E14" s="41" t="s">
        <v>281</v>
      </c>
    </row>
    <row r="15" spans="1:5" ht="22.2" customHeight="1" x14ac:dyDescent="0.25">
      <c r="A15" s="60" t="s">
        <v>253</v>
      </c>
      <c r="B15" s="41" t="s">
        <v>82</v>
      </c>
      <c r="C15" s="41" t="s">
        <v>82</v>
      </c>
      <c r="E15" s="41" t="s">
        <v>281</v>
      </c>
    </row>
    <row r="16" spans="1:5" ht="22.2" customHeight="1" x14ac:dyDescent="0.25">
      <c r="A16" s="60" t="s">
        <v>254</v>
      </c>
      <c r="B16" s="41" t="s">
        <v>82</v>
      </c>
      <c r="C16" s="41" t="s">
        <v>82</v>
      </c>
      <c r="E16" s="41" t="s">
        <v>281</v>
      </c>
    </row>
    <row r="17" spans="1:5" ht="22.2" customHeight="1" x14ac:dyDescent="0.25">
      <c r="A17" s="60" t="s">
        <v>276</v>
      </c>
      <c r="B17" s="41" t="s">
        <v>82</v>
      </c>
      <c r="C17" s="41" t="s">
        <v>83</v>
      </c>
      <c r="E17" s="41" t="s">
        <v>281</v>
      </c>
    </row>
    <row r="18" spans="1:5" ht="22.2" customHeight="1" x14ac:dyDescent="0.25">
      <c r="A18" s="60" t="s">
        <v>259</v>
      </c>
      <c r="B18" s="41" t="s">
        <v>82</v>
      </c>
      <c r="C18" s="41" t="s">
        <v>82</v>
      </c>
      <c r="E18" s="41" t="s">
        <v>281</v>
      </c>
    </row>
    <row r="19" spans="1:5" ht="22.2" customHeight="1" x14ac:dyDescent="0.25">
      <c r="A19" s="60" t="s">
        <v>270</v>
      </c>
      <c r="B19" s="41" t="s">
        <v>82</v>
      </c>
      <c r="C19" s="41" t="s">
        <v>82</v>
      </c>
      <c r="E19" s="41" t="s">
        <v>281</v>
      </c>
    </row>
    <row r="20" spans="1:5" ht="22.2" customHeight="1" x14ac:dyDescent="0.25">
      <c r="A20" s="60" t="s">
        <v>264</v>
      </c>
      <c r="B20" s="41" t="s">
        <v>82</v>
      </c>
      <c r="C20" s="41" t="s">
        <v>82</v>
      </c>
      <c r="E20" s="20" t="s">
        <v>281</v>
      </c>
    </row>
    <row r="21" spans="1:5" ht="22.2" customHeight="1" x14ac:dyDescent="0.25">
      <c r="A21" s="60" t="s">
        <v>266</v>
      </c>
      <c r="B21" s="41" t="s">
        <v>82</v>
      </c>
      <c r="C21" s="41" t="s">
        <v>82</v>
      </c>
      <c r="E21" s="20" t="s">
        <v>281</v>
      </c>
    </row>
    <row r="22" spans="1:5" ht="22.2" customHeight="1" x14ac:dyDescent="0.25">
      <c r="A22" s="60" t="s">
        <v>271</v>
      </c>
      <c r="B22" s="41" t="s">
        <v>82</v>
      </c>
      <c r="C22" s="41" t="s">
        <v>82</v>
      </c>
      <c r="E22" s="20" t="s">
        <v>281</v>
      </c>
    </row>
    <row r="23" spans="1:5" ht="22.2" customHeight="1" x14ac:dyDescent="0.25">
      <c r="A23" s="60" t="s">
        <v>263</v>
      </c>
      <c r="B23" s="41" t="s">
        <v>82</v>
      </c>
      <c r="C23" s="41" t="s">
        <v>82</v>
      </c>
      <c r="E23" s="20" t="s">
        <v>281</v>
      </c>
    </row>
    <row r="24" spans="1:5" ht="22.2" customHeight="1" x14ac:dyDescent="0.25">
      <c r="A24" s="60" t="s">
        <v>262</v>
      </c>
      <c r="B24" s="41" t="s">
        <v>82</v>
      </c>
      <c r="C24" s="41" t="s">
        <v>82</v>
      </c>
      <c r="E24" s="20" t="s">
        <v>281</v>
      </c>
    </row>
    <row r="25" spans="1:5" ht="22.2" customHeight="1" x14ac:dyDescent="0.25">
      <c r="A25" s="60" t="s">
        <v>265</v>
      </c>
      <c r="B25" s="41" t="s">
        <v>82</v>
      </c>
      <c r="C25" s="41" t="s">
        <v>82</v>
      </c>
      <c r="E25" s="20" t="s">
        <v>281</v>
      </c>
    </row>
    <row r="26" spans="1:5" ht="22.2" customHeight="1" x14ac:dyDescent="0.25">
      <c r="A26" s="60" t="s">
        <v>258</v>
      </c>
      <c r="B26" s="41" t="s">
        <v>82</v>
      </c>
      <c r="C26" s="41" t="s">
        <v>82</v>
      </c>
      <c r="E26" s="20" t="s">
        <v>281</v>
      </c>
    </row>
    <row r="27" spans="1:5" ht="22.2" customHeight="1" x14ac:dyDescent="0.25">
      <c r="A27" s="60" t="s">
        <v>269</v>
      </c>
      <c r="B27" s="41" t="s">
        <v>82</v>
      </c>
      <c r="C27" s="41" t="s">
        <v>82</v>
      </c>
      <c r="E27" s="20" t="s">
        <v>281</v>
      </c>
    </row>
    <row r="28" spans="1:5" ht="22.2" customHeight="1" x14ac:dyDescent="0.25">
      <c r="A28" s="60" t="s">
        <v>267</v>
      </c>
      <c r="B28" s="41" t="s">
        <v>82</v>
      </c>
      <c r="C28" s="41" t="s">
        <v>82</v>
      </c>
      <c r="E28" s="20" t="s">
        <v>281</v>
      </c>
    </row>
    <row r="29" spans="1:5" ht="22.2" customHeight="1" x14ac:dyDescent="0.25">
      <c r="A29" s="60" t="s">
        <v>268</v>
      </c>
      <c r="B29" s="41" t="s">
        <v>82</v>
      </c>
      <c r="C29" s="41" t="s">
        <v>82</v>
      </c>
      <c r="E29" s="20" t="s">
        <v>281</v>
      </c>
    </row>
    <row r="30" spans="1:5" ht="22.2" customHeight="1" x14ac:dyDescent="0.25">
      <c r="A30" s="60" t="s">
        <v>245</v>
      </c>
      <c r="B30" s="41" t="s">
        <v>83</v>
      </c>
      <c r="C30" s="41" t="s">
        <v>82</v>
      </c>
    </row>
    <row r="31" spans="1:5" ht="22.2" customHeight="1" x14ac:dyDescent="0.25">
      <c r="A31" s="60" t="s">
        <v>246</v>
      </c>
      <c r="B31" s="41" t="s">
        <v>83</v>
      </c>
      <c r="C31" s="41" t="s">
        <v>82</v>
      </c>
    </row>
  </sheetData>
  <autoFilter ref="A1:C31" xr:uid="{324C855F-B22E-469F-9A0F-C6A2885D6A4C}">
    <sortState xmlns:xlrd2="http://schemas.microsoft.com/office/spreadsheetml/2017/richdata2" ref="A2:C31">
      <sortCondition ref="A1:A31"/>
    </sortState>
  </autoFilter>
  <conditionalFormatting sqref="B1:C1048576">
    <cfRule type="endsWith" dxfId="20" priority="1" operator="endsWith" text="N">
      <formula>RIGHT(B1,LEN("N"))="N"</formula>
    </cfRule>
    <cfRule type="endsWith" dxfId="19" priority="2" operator="endsWith" text="S">
      <formula>RIGHT(B1,LEN("S"))="S"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34DA-0DF3-416D-A62B-133C2E58766B}">
  <dimension ref="A1:M21"/>
  <sheetViews>
    <sheetView zoomScaleNormal="100" workbookViewId="0">
      <selection activeCell="E9" sqref="E9"/>
    </sheetView>
  </sheetViews>
  <sheetFormatPr defaultRowHeight="13.8" x14ac:dyDescent="0.25"/>
  <cols>
    <col min="1" max="1" width="17.296875" style="20" customWidth="1"/>
    <col min="2" max="2" width="10.69921875" style="20" customWidth="1"/>
    <col min="3" max="3" width="15" style="20" customWidth="1"/>
    <col min="4" max="4" width="13.19921875" style="20" customWidth="1"/>
    <col min="5" max="5" width="15.19921875" style="20" customWidth="1"/>
    <col min="6" max="6" width="17.8984375" style="20" customWidth="1"/>
    <col min="7" max="7" width="20.296875" customWidth="1"/>
    <col min="8" max="8" width="18.09765625" customWidth="1"/>
    <col min="9" max="9" width="16.69921875" customWidth="1"/>
    <col min="10" max="10" width="15.3984375" customWidth="1"/>
    <col min="11" max="11" width="20.796875" customWidth="1"/>
  </cols>
  <sheetData>
    <row r="1" spans="1:13" s="42" customFormat="1" ht="47.4" customHeight="1" x14ac:dyDescent="0.25">
      <c r="A1" s="43" t="s">
        <v>244</v>
      </c>
      <c r="B1" s="44"/>
      <c r="C1" s="44"/>
      <c r="D1" s="44"/>
      <c r="E1" s="44"/>
      <c r="F1" s="44"/>
    </row>
    <row r="2" spans="1:13" s="90" customFormat="1" ht="40.799999999999997" customHeight="1" x14ac:dyDescent="0.25">
      <c r="A2" s="89" t="s">
        <v>647</v>
      </c>
      <c r="B2" s="89" t="s">
        <v>184</v>
      </c>
      <c r="C2" s="89" t="s">
        <v>648</v>
      </c>
      <c r="D2" s="89"/>
      <c r="E2" s="89"/>
      <c r="F2" s="89"/>
      <c r="G2" s="89"/>
      <c r="H2" s="89"/>
      <c r="I2" s="89"/>
      <c r="J2" s="89"/>
      <c r="K2" s="89"/>
    </row>
    <row r="3" spans="1:13" s="47" customFormat="1" ht="16.2" customHeight="1" x14ac:dyDescent="0.25">
      <c r="A3" s="18"/>
      <c r="B3" s="8"/>
      <c r="C3" s="95"/>
      <c r="D3"/>
      <c r="E3"/>
      <c r="F3"/>
      <c r="G3"/>
      <c r="H3"/>
      <c r="I3"/>
      <c r="J3"/>
      <c r="K3"/>
      <c r="L3"/>
      <c r="M3"/>
    </row>
    <row r="4" spans="1:13" ht="15.6" x14ac:dyDescent="0.25">
      <c r="A4" s="18"/>
      <c r="B4" s="8"/>
      <c r="C4" s="95"/>
      <c r="D4"/>
      <c r="E4"/>
      <c r="F4"/>
    </row>
    <row r="5" spans="1:13" ht="15.6" x14ac:dyDescent="0.25">
      <c r="A5" s="18" t="s">
        <v>165</v>
      </c>
      <c r="B5" s="8" t="s">
        <v>166</v>
      </c>
      <c r="C5" s="95">
        <v>45412</v>
      </c>
      <c r="D5"/>
      <c r="E5"/>
      <c r="F5"/>
    </row>
    <row r="6" spans="1:13" ht="15.6" x14ac:dyDescent="0.25">
      <c r="A6" s="15"/>
      <c r="B6" s="8"/>
      <c r="C6" s="95"/>
      <c r="D6"/>
      <c r="E6"/>
      <c r="F6"/>
    </row>
    <row r="7" spans="1:13" ht="15.6" x14ac:dyDescent="0.25">
      <c r="A7" s="15"/>
      <c r="B7" s="8"/>
      <c r="C7" s="95"/>
      <c r="D7"/>
      <c r="E7"/>
      <c r="F7"/>
    </row>
    <row r="8" spans="1:13" ht="15.6" x14ac:dyDescent="0.25">
      <c r="A8" s="15" t="s">
        <v>106</v>
      </c>
      <c r="B8" s="8" t="s">
        <v>112</v>
      </c>
      <c r="C8" s="95">
        <v>45230</v>
      </c>
      <c r="D8"/>
      <c r="E8"/>
      <c r="F8"/>
    </row>
    <row r="9" spans="1:13" ht="15.6" x14ac:dyDescent="0.25">
      <c r="A9" s="15" t="s">
        <v>108</v>
      </c>
      <c r="B9" s="8" t="s">
        <v>112</v>
      </c>
      <c r="C9" s="95">
        <v>45230</v>
      </c>
      <c r="D9"/>
      <c r="E9"/>
      <c r="F9"/>
    </row>
    <row r="10" spans="1:13" ht="15.6" x14ac:dyDescent="0.25">
      <c r="A10" s="15" t="s">
        <v>110</v>
      </c>
      <c r="B10" s="8" t="s">
        <v>112</v>
      </c>
      <c r="C10" s="95">
        <v>45412</v>
      </c>
      <c r="D10"/>
      <c r="E10"/>
      <c r="F10"/>
    </row>
    <row r="11" spans="1:13" ht="15.6" x14ac:dyDescent="0.25">
      <c r="A11" s="15" t="s">
        <v>117</v>
      </c>
      <c r="B11" s="8" t="s">
        <v>113</v>
      </c>
      <c r="C11" s="95">
        <v>45711</v>
      </c>
      <c r="D11"/>
      <c r="E11"/>
      <c r="F11"/>
    </row>
    <row r="12" spans="1:13" ht="15.6" x14ac:dyDescent="0.25">
      <c r="A12" s="15" t="s">
        <v>119</v>
      </c>
      <c r="B12" s="8" t="s">
        <v>113</v>
      </c>
      <c r="C12" s="96">
        <v>45734</v>
      </c>
      <c r="D12"/>
      <c r="E12"/>
      <c r="F12"/>
    </row>
    <row r="13" spans="1:13" ht="15.6" x14ac:dyDescent="0.25">
      <c r="A13" s="18" t="s">
        <v>122</v>
      </c>
      <c r="B13" s="8" t="s">
        <v>113</v>
      </c>
      <c r="C13" s="95">
        <v>45596</v>
      </c>
      <c r="D13"/>
      <c r="E13"/>
      <c r="F13"/>
    </row>
    <row r="14" spans="1:13" ht="15.6" x14ac:dyDescent="0.25">
      <c r="A14" s="18" t="s">
        <v>163</v>
      </c>
      <c r="B14" s="8" t="s">
        <v>161</v>
      </c>
      <c r="C14" s="95">
        <v>45626</v>
      </c>
      <c r="D14"/>
      <c r="E14"/>
      <c r="F14"/>
    </row>
    <row r="15" spans="1:13" ht="15.6" x14ac:dyDescent="0.25">
      <c r="A15" s="18" t="s">
        <v>153</v>
      </c>
      <c r="B15" s="8" t="s">
        <v>130</v>
      </c>
      <c r="C15" s="96">
        <v>45248</v>
      </c>
    </row>
    <row r="16" spans="1:13" ht="15.6" x14ac:dyDescent="0.25">
      <c r="A16" s="18" t="s">
        <v>279</v>
      </c>
      <c r="B16" s="8" t="s">
        <v>280</v>
      </c>
      <c r="C16" s="96">
        <v>45406</v>
      </c>
    </row>
    <row r="17" spans="1:3" ht="15.6" x14ac:dyDescent="0.25">
      <c r="A17" s="18" t="s">
        <v>282</v>
      </c>
      <c r="B17" s="8" t="s">
        <v>280</v>
      </c>
      <c r="C17" s="96">
        <v>45406</v>
      </c>
    </row>
    <row r="18" spans="1:3" ht="15.6" x14ac:dyDescent="0.25">
      <c r="A18" s="18" t="s">
        <v>421</v>
      </c>
      <c r="B18" s="8" t="s">
        <v>280</v>
      </c>
      <c r="C18" s="96">
        <v>45596</v>
      </c>
    </row>
    <row r="19" spans="1:3" ht="15.6" x14ac:dyDescent="0.25">
      <c r="A19" s="18" t="s">
        <v>481</v>
      </c>
      <c r="B19" s="8" t="s">
        <v>130</v>
      </c>
      <c r="C19" s="96">
        <v>45716</v>
      </c>
    </row>
    <row r="20" spans="1:3" ht="15.6" x14ac:dyDescent="0.25">
      <c r="A20" s="18" t="s">
        <v>509</v>
      </c>
      <c r="B20" s="8" t="s">
        <v>130</v>
      </c>
      <c r="C20" s="96">
        <v>45716</v>
      </c>
    </row>
    <row r="21" spans="1:3" ht="15.6" x14ac:dyDescent="0.25">
      <c r="A21" s="18"/>
      <c r="B21" s="91"/>
      <c r="C21" s="96"/>
    </row>
  </sheetData>
  <conditionalFormatting sqref="A3:A21">
    <cfRule type="expression" dxfId="18" priority="17">
      <formula>$N3="SIM"</formula>
    </cfRule>
    <cfRule type="expression" dxfId="17" priority="18">
      <formula>$N3="NÃO"</formula>
    </cfRule>
  </conditionalFormatting>
  <conditionalFormatting sqref="B3:B21">
    <cfRule type="containsText" dxfId="16" priority="1" operator="containsText" text="EST">
      <formula>NOT(ISERROR(SEARCH("EST",B3)))</formula>
    </cfRule>
    <cfRule type="containsText" dxfId="15" priority="2" operator="containsText" text="COM">
      <formula>NOT(ISERROR(SEARCH("COM",B3)))</formula>
    </cfRule>
    <cfRule type="containsText" dxfId="14" priority="3" operator="containsText" text="DOS">
      <formula>NOT(ISERROR(SEARCH("DOS",B3)))</formula>
    </cfRule>
    <cfRule type="containsText" dxfId="13" priority="4" operator="containsText" text="PRE">
      <formula>NOT(ISERROR(SEARCH("PRE",B3)))</formula>
    </cfRule>
    <cfRule type="containsText" dxfId="12" priority="5" operator="containsText" text="SED">
      <formula>NOT(ISERROR(SEARCH("SED",B3)))</formula>
    </cfRule>
    <cfRule type="containsText" dxfId="11" priority="6" operator="containsText" text="EE2">
      <formula>NOT(ISERROR(SEARCH("EE2",B3)))</formula>
    </cfRule>
    <cfRule type="containsText" dxfId="10" priority="7" operator="containsText" text="EE1">
      <formula>NOT(ISERROR(SEARCH("EE1",B3)))</formula>
    </cfRule>
  </conditionalFormatting>
  <conditionalFormatting sqref="B16">
    <cfRule type="colorScale" priority="108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B21">
    <cfRule type="containsText" dxfId="9" priority="8" operator="containsText" text="?">
      <formula>NOT(ISERROR(SEARCH("?",B16)))</formula>
    </cfRule>
    <cfRule type="containsText" dxfId="8" priority="9" operator="containsText" text="COM">
      <formula>NOT(ISERROR(SEARCH("COM",B16)))</formula>
    </cfRule>
    <cfRule type="containsText" dxfId="7" priority="10" operator="containsText" text="DOS">
      <formula>NOT(ISERROR(SEARCH("DOS",B16)))</formula>
    </cfRule>
    <cfRule type="containsText" dxfId="6" priority="11" operator="containsText" text="PRE">
      <formula>NOT(ISERROR(SEARCH("PRE",B16)))</formula>
    </cfRule>
    <cfRule type="containsText" dxfId="5" priority="12" operator="containsText" text="SED">
      <formula>NOT(ISERROR(SEARCH("SED",B16)))</formula>
    </cfRule>
    <cfRule type="containsText" dxfId="4" priority="13" operator="containsText" text="EE2">
      <formula>NOT(ISERROR(SEARCH("EE2",B16)))</formula>
    </cfRule>
    <cfRule type="containsText" dxfId="3" priority="14" operator="containsText" text="EE1">
      <formula>NOT(ISERROR(SEARCH("EE1",B16)))</formula>
    </cfRule>
  </conditionalFormatting>
  <conditionalFormatting sqref="B17">
    <cfRule type="colorScale" priority="90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">
    <cfRule type="colorScale" priority="72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">
    <cfRule type="colorScale" priority="53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">
    <cfRule type="colorScale" priority="34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">
    <cfRule type="colorScale" priority="15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1">
    <cfRule type="containsText" dxfId="2" priority="150" operator="containsText" text="FORA DE USO">
      <formula>NOT(ISERROR(SEARCH(("FORA DE USO"),(C3))))</formula>
    </cfRule>
  </conditionalFormatting>
  <conditionalFormatting sqref="C13:C14">
    <cfRule type="containsText" dxfId="1" priority="121" operator="containsText" text="FORA DE USO">
      <formula>NOT(ISERROR(SEARCH(("FORA DE USO"),(C13))))</formula>
    </cfRule>
  </conditionalFormatting>
  <conditionalFormatting sqref="C18:C20">
    <cfRule type="containsText" dxfId="0" priority="19" operator="containsText" text="FORA DE USO">
      <formula>NOT(ISERROR(SEARCH(("FORA DE USO"),(C18))))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75E-C5D5-4B89-A14F-FEB79DADE454}">
  <dimension ref="A1:I7"/>
  <sheetViews>
    <sheetView zoomScale="85" zoomScaleNormal="85" workbookViewId="0">
      <selection activeCell="C6" sqref="C6"/>
    </sheetView>
  </sheetViews>
  <sheetFormatPr defaultRowHeight="35.4" customHeight="1" x14ac:dyDescent="0.25"/>
  <cols>
    <col min="1" max="1" width="23.3984375" style="26" customWidth="1"/>
    <col min="2" max="2" width="11.69921875" customWidth="1"/>
    <col min="3" max="3" width="71.796875" customWidth="1"/>
    <col min="4" max="4" width="16.796875" customWidth="1"/>
    <col min="5" max="5" width="8.796875" style="21"/>
    <col min="6" max="6" width="8.796875" style="34"/>
    <col min="7" max="7" width="8.796875" style="21"/>
    <col min="8" max="8" width="23.3984375" style="21" customWidth="1"/>
    <col min="9" max="9" width="8.796875" style="21"/>
  </cols>
  <sheetData>
    <row r="1" spans="1:8" s="31" customFormat="1" ht="35.4" customHeight="1" x14ac:dyDescent="0.25">
      <c r="A1" s="27" t="s">
        <v>1</v>
      </c>
      <c r="B1" s="27" t="s">
        <v>184</v>
      </c>
      <c r="C1" s="27" t="s">
        <v>185</v>
      </c>
      <c r="D1" s="28" t="s">
        <v>196</v>
      </c>
      <c r="E1" s="29"/>
      <c r="F1" s="33"/>
      <c r="G1" s="29"/>
      <c r="H1" s="30" t="s">
        <v>189</v>
      </c>
    </row>
    <row r="2" spans="1:8" ht="35.4" customHeight="1" x14ac:dyDescent="0.25">
      <c r="A2" s="26" t="s">
        <v>114</v>
      </c>
      <c r="B2" s="20" t="s">
        <v>113</v>
      </c>
      <c r="C2" s="14" t="s">
        <v>186</v>
      </c>
      <c r="D2" s="22">
        <v>45856</v>
      </c>
      <c r="H2" s="23" t="s">
        <v>191</v>
      </c>
    </row>
    <row r="3" spans="1:8" ht="35.4" customHeight="1" x14ac:dyDescent="0.25">
      <c r="A3" s="26" t="s">
        <v>116</v>
      </c>
      <c r="B3" s="20" t="s">
        <v>113</v>
      </c>
      <c r="C3" t="s">
        <v>187</v>
      </c>
      <c r="D3" s="22">
        <v>45856</v>
      </c>
      <c r="H3" s="23" t="s">
        <v>190</v>
      </c>
    </row>
    <row r="4" spans="1:8" ht="35.4" customHeight="1" x14ac:dyDescent="0.25">
      <c r="A4" s="26" t="s">
        <v>118</v>
      </c>
      <c r="B4" s="20" t="s">
        <v>113</v>
      </c>
      <c r="C4" t="s">
        <v>188</v>
      </c>
      <c r="D4" s="22">
        <v>45856</v>
      </c>
      <c r="H4" s="23" t="s">
        <v>195</v>
      </c>
    </row>
    <row r="5" spans="1:8" ht="35.4" customHeight="1" x14ac:dyDescent="0.25">
      <c r="A5" s="26" t="s">
        <v>171</v>
      </c>
      <c r="B5" s="25" t="s">
        <v>202</v>
      </c>
      <c r="C5" s="14" t="s">
        <v>205</v>
      </c>
      <c r="D5" s="32">
        <v>45859</v>
      </c>
      <c r="H5" s="23" t="s">
        <v>192</v>
      </c>
    </row>
    <row r="6" spans="1:8" ht="35.4" customHeight="1" x14ac:dyDescent="0.25">
      <c r="A6" s="26" t="s">
        <v>31</v>
      </c>
      <c r="B6" s="25" t="s">
        <v>130</v>
      </c>
      <c r="C6" s="39" t="s">
        <v>234</v>
      </c>
      <c r="D6" s="40">
        <v>45860</v>
      </c>
      <c r="H6" s="23" t="s">
        <v>193</v>
      </c>
    </row>
    <row r="7" spans="1:8" ht="35.4" customHeight="1" x14ac:dyDescent="0.25">
      <c r="A7" s="26" t="s">
        <v>296</v>
      </c>
      <c r="B7" s="25" t="s">
        <v>130</v>
      </c>
      <c r="C7" s="39" t="s">
        <v>297</v>
      </c>
      <c r="D7" s="40">
        <v>45851</v>
      </c>
      <c r="H7" s="23" t="s">
        <v>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 de Equipamentos </vt:lpstr>
      <vt:lpstr>temp</vt:lpstr>
      <vt:lpstr>Para Calibrar</vt:lpstr>
      <vt:lpstr>Equipamentos Com Problema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Guilhem Barbosa</dc:creator>
  <cp:lastModifiedBy>Mauricio Malanconi</cp:lastModifiedBy>
  <dcterms:created xsi:type="dcterms:W3CDTF">2015-02-24T14:06:44Z</dcterms:created>
  <dcterms:modified xsi:type="dcterms:W3CDTF">2025-08-06T10:50:04Z</dcterms:modified>
</cp:coreProperties>
</file>